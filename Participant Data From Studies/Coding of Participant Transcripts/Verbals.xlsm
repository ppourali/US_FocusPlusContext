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US_FocusPlusContext\Evaulation Materials\Verbal Notes\"/>
    </mc:Choice>
  </mc:AlternateContent>
  <xr:revisionPtr revIDLastSave="0" documentId="13_ncr:1_{F801102E-B2FA-45AC-8342-38BB35ED3B52}" xr6:coauthVersionLast="45" xr6:coauthVersionMax="45" xr10:uidLastSave="{00000000-0000-0000-0000-000000000000}"/>
  <bookViews>
    <workbookView xWindow="-120" yWindow="-120" windowWidth="29040" windowHeight="15840" tabRatio="790" xr2:uid="{00000000-000D-0000-FFFF-FFFF00000000}"/>
  </bookViews>
  <sheets>
    <sheet name="Overall" sheetId="23" r:id="rId1"/>
    <sheet name="P (1)" sheetId="1" r:id="rId2"/>
    <sheet name="P (2)" sheetId="6" r:id="rId3"/>
    <sheet name="P (3)" sheetId="7" r:id="rId4"/>
    <sheet name="P (4)" sheetId="8" r:id="rId5"/>
    <sheet name="P (5)" sheetId="9" r:id="rId6"/>
    <sheet name="P (6)" sheetId="10" r:id="rId7"/>
    <sheet name="P (7)" sheetId="11" r:id="rId8"/>
    <sheet name="P (8)" sheetId="12" r:id="rId9"/>
    <sheet name="P (9)" sheetId="13" r:id="rId10"/>
    <sheet name="P (10)" sheetId="14" r:id="rId11"/>
    <sheet name="P (11)" sheetId="15" r:id="rId12"/>
    <sheet name="P (12)" sheetId="16" r:id="rId13"/>
    <sheet name="P (13)" sheetId="17" r:id="rId14"/>
    <sheet name="P (14)" sheetId="18" r:id="rId15"/>
    <sheet name="P (15)" sheetId="19" r:id="rId16"/>
    <sheet name="P (16)" sheetId="20" r:id="rId17"/>
    <sheet name="P (17)" sheetId="21" r:id="rId18"/>
    <sheet name="P (18)" sheetId="22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2" i="23" l="1"/>
  <c r="AH2" i="23"/>
  <c r="AF2" i="23"/>
  <c r="AD2" i="23"/>
  <c r="AB2" i="23"/>
  <c r="Z2" i="23"/>
  <c r="X2" i="23"/>
  <c r="V2" i="23"/>
  <c r="T2" i="23"/>
  <c r="P2" i="23"/>
  <c r="N2" i="23"/>
  <c r="L2" i="23"/>
  <c r="J2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4" i="23"/>
  <c r="F14" i="23"/>
  <c r="G7" i="23"/>
  <c r="G15" i="23"/>
  <c r="F6" i="23"/>
  <c r="G20" i="23"/>
  <c r="F9" i="23"/>
  <c r="G13" i="23"/>
  <c r="G10" i="23"/>
  <c r="F15" i="23"/>
  <c r="F10" i="23"/>
  <c r="G9" i="23"/>
  <c r="G4" i="23"/>
  <c r="F7" i="23"/>
  <c r="F18" i="23"/>
  <c r="G17" i="23"/>
  <c r="G16" i="23"/>
  <c r="G6" i="23"/>
  <c r="F5" i="23"/>
  <c r="G14" i="23"/>
  <c r="G12" i="23"/>
  <c r="F21" i="23"/>
  <c r="F12" i="23"/>
  <c r="F19" i="23"/>
  <c r="F13" i="23"/>
  <c r="G8" i="23"/>
  <c r="F11" i="23"/>
  <c r="F4" i="23"/>
  <c r="G19" i="23"/>
  <c r="G18" i="23"/>
  <c r="F17" i="23"/>
  <c r="G21" i="23"/>
  <c r="G11" i="23"/>
  <c r="G5" i="23"/>
  <c r="F20" i="23"/>
  <c r="F32" i="22" l="1"/>
  <c r="F31" i="22"/>
  <c r="F30" i="22"/>
  <c r="F29" i="22"/>
  <c r="J29" i="22" s="1"/>
  <c r="F28" i="22"/>
  <c r="J28" i="22" s="1"/>
  <c r="F27" i="22"/>
  <c r="G27" i="22" s="1"/>
  <c r="F26" i="22"/>
  <c r="J26" i="22" s="1"/>
  <c r="F25" i="22"/>
  <c r="H25" i="22" s="1"/>
  <c r="F24" i="22"/>
  <c r="J24" i="22" s="1"/>
  <c r="F23" i="22"/>
  <c r="I23" i="22" s="1"/>
  <c r="F22" i="22"/>
  <c r="I22" i="22" s="1"/>
  <c r="F21" i="22"/>
  <c r="J21" i="22" s="1"/>
  <c r="F20" i="22"/>
  <c r="J20" i="22" s="1"/>
  <c r="F18" i="22"/>
  <c r="F17" i="22"/>
  <c r="F5" i="22"/>
  <c r="J5" i="22" s="1"/>
  <c r="F4" i="22"/>
  <c r="J4" i="22" s="1"/>
  <c r="F3" i="22"/>
  <c r="I3" i="22" s="1"/>
  <c r="F2" i="22"/>
  <c r="I2" i="22" s="1"/>
  <c r="F32" i="21"/>
  <c r="F31" i="21"/>
  <c r="F30" i="21"/>
  <c r="F29" i="21"/>
  <c r="J29" i="21" s="1"/>
  <c r="F28" i="21"/>
  <c r="H28" i="21" s="1"/>
  <c r="F27" i="21"/>
  <c r="G27" i="21" s="1"/>
  <c r="F26" i="21"/>
  <c r="J26" i="21" s="1"/>
  <c r="F25" i="21"/>
  <c r="G25" i="21" s="1"/>
  <c r="F24" i="21"/>
  <c r="J24" i="21" s="1"/>
  <c r="F23" i="21"/>
  <c r="I23" i="21" s="1"/>
  <c r="F22" i="21"/>
  <c r="J22" i="21" s="1"/>
  <c r="F21" i="21"/>
  <c r="I21" i="21" s="1"/>
  <c r="F20" i="21"/>
  <c r="H20" i="21" s="1"/>
  <c r="F18" i="21"/>
  <c r="F17" i="21"/>
  <c r="F5" i="21"/>
  <c r="G5" i="21" s="1"/>
  <c r="F4" i="21"/>
  <c r="G4" i="21" s="1"/>
  <c r="F3" i="21"/>
  <c r="I3" i="21" s="1"/>
  <c r="F2" i="21"/>
  <c r="J2" i="21" s="1"/>
  <c r="F32" i="20"/>
  <c r="F31" i="20"/>
  <c r="F30" i="20"/>
  <c r="F29" i="20"/>
  <c r="J29" i="20" s="1"/>
  <c r="F28" i="20"/>
  <c r="H28" i="20" s="1"/>
  <c r="F27" i="20"/>
  <c r="G27" i="20" s="1"/>
  <c r="F26" i="20"/>
  <c r="J26" i="20" s="1"/>
  <c r="F25" i="20"/>
  <c r="G25" i="20" s="1"/>
  <c r="F24" i="20"/>
  <c r="J24" i="20" s="1"/>
  <c r="F23" i="20"/>
  <c r="I23" i="20" s="1"/>
  <c r="F22" i="20"/>
  <c r="J22" i="20" s="1"/>
  <c r="F21" i="20"/>
  <c r="J21" i="20" s="1"/>
  <c r="F20" i="20"/>
  <c r="H20" i="20" s="1"/>
  <c r="F18" i="20"/>
  <c r="F17" i="20"/>
  <c r="F5" i="20"/>
  <c r="G5" i="20" s="1"/>
  <c r="F4" i="20"/>
  <c r="J4" i="20" s="1"/>
  <c r="F3" i="20"/>
  <c r="H3" i="20" s="1"/>
  <c r="F2" i="20"/>
  <c r="J2" i="20" s="1"/>
  <c r="F32" i="19"/>
  <c r="F31" i="19"/>
  <c r="F30" i="19"/>
  <c r="F29" i="19"/>
  <c r="J29" i="19" s="1"/>
  <c r="F28" i="19"/>
  <c r="I28" i="19" s="1"/>
  <c r="F27" i="19"/>
  <c r="J27" i="19" s="1"/>
  <c r="F26" i="19"/>
  <c r="J26" i="19" s="1"/>
  <c r="F25" i="19"/>
  <c r="H25" i="19" s="1"/>
  <c r="F24" i="19"/>
  <c r="J24" i="19" s="1"/>
  <c r="F23" i="19"/>
  <c r="J23" i="19" s="1"/>
  <c r="F22" i="19"/>
  <c r="G22" i="19" s="1"/>
  <c r="F21" i="19"/>
  <c r="J21" i="19" s="1"/>
  <c r="F20" i="19"/>
  <c r="I20" i="19" s="1"/>
  <c r="F18" i="19"/>
  <c r="F17" i="19"/>
  <c r="F5" i="19"/>
  <c r="H5" i="19" s="1"/>
  <c r="F4" i="19"/>
  <c r="J4" i="19" s="1"/>
  <c r="F3" i="19"/>
  <c r="J3" i="19" s="1"/>
  <c r="F2" i="19"/>
  <c r="G2" i="19" s="1"/>
  <c r="F32" i="18"/>
  <c r="F31" i="18"/>
  <c r="F30" i="18"/>
  <c r="F29" i="18"/>
  <c r="J29" i="18" s="1"/>
  <c r="F28" i="18"/>
  <c r="J28" i="18" s="1"/>
  <c r="F27" i="18"/>
  <c r="G27" i="18" s="1"/>
  <c r="F26" i="18"/>
  <c r="J26" i="18" s="1"/>
  <c r="F25" i="18"/>
  <c r="I25" i="18" s="1"/>
  <c r="F24" i="18"/>
  <c r="I24" i="18" s="1"/>
  <c r="F23" i="18"/>
  <c r="I23" i="18" s="1"/>
  <c r="F22" i="18"/>
  <c r="G22" i="18" s="1"/>
  <c r="F21" i="18"/>
  <c r="J21" i="18" s="1"/>
  <c r="F20" i="18"/>
  <c r="J20" i="18" s="1"/>
  <c r="F18" i="18"/>
  <c r="F17" i="18"/>
  <c r="F5" i="18"/>
  <c r="I5" i="18" s="1"/>
  <c r="F4" i="18"/>
  <c r="I4" i="18" s="1"/>
  <c r="F3" i="18"/>
  <c r="I3" i="18" s="1"/>
  <c r="F2" i="18"/>
  <c r="J2" i="18" s="1"/>
  <c r="F32" i="17"/>
  <c r="F31" i="17"/>
  <c r="F30" i="17"/>
  <c r="F29" i="17"/>
  <c r="J29" i="17" s="1"/>
  <c r="F28" i="17"/>
  <c r="I28" i="17" s="1"/>
  <c r="F27" i="17"/>
  <c r="J27" i="17" s="1"/>
  <c r="F26" i="17"/>
  <c r="J26" i="17" s="1"/>
  <c r="F25" i="17"/>
  <c r="G25" i="17" s="1"/>
  <c r="F24" i="17"/>
  <c r="J24" i="17" s="1"/>
  <c r="F23" i="17"/>
  <c r="I23" i="17" s="1"/>
  <c r="F22" i="17"/>
  <c r="J22" i="17" s="1"/>
  <c r="F21" i="17"/>
  <c r="J21" i="17" s="1"/>
  <c r="F20" i="17"/>
  <c r="I20" i="17" s="1"/>
  <c r="F18" i="17"/>
  <c r="F17" i="17"/>
  <c r="F5" i="17"/>
  <c r="G5" i="17" s="1"/>
  <c r="F4" i="17"/>
  <c r="J4" i="17" s="1"/>
  <c r="F3" i="17"/>
  <c r="I3" i="17" s="1"/>
  <c r="F2" i="17"/>
  <c r="H2" i="17" s="1"/>
  <c r="F32" i="16"/>
  <c r="F31" i="16"/>
  <c r="F30" i="16"/>
  <c r="F29" i="16"/>
  <c r="J29" i="16" s="1"/>
  <c r="F28" i="16"/>
  <c r="J28" i="16" s="1"/>
  <c r="F27" i="16"/>
  <c r="G27" i="16" s="1"/>
  <c r="F26" i="16"/>
  <c r="J26" i="16" s="1"/>
  <c r="F25" i="16"/>
  <c r="G25" i="16" s="1"/>
  <c r="F24" i="16"/>
  <c r="I24" i="16" s="1"/>
  <c r="F23" i="16"/>
  <c r="G23" i="16" s="1"/>
  <c r="F22" i="16"/>
  <c r="H22" i="16" s="1"/>
  <c r="F21" i="16"/>
  <c r="J21" i="16" s="1"/>
  <c r="F20" i="16"/>
  <c r="J20" i="16" s="1"/>
  <c r="F18" i="16"/>
  <c r="F17" i="16"/>
  <c r="F5" i="16"/>
  <c r="J5" i="16" s="1"/>
  <c r="F4" i="16"/>
  <c r="I4" i="16" s="1"/>
  <c r="F3" i="16"/>
  <c r="J3" i="16" s="1"/>
  <c r="F2" i="16"/>
  <c r="H2" i="16" s="1"/>
  <c r="F32" i="15"/>
  <c r="F31" i="15"/>
  <c r="F30" i="15"/>
  <c r="F29" i="15"/>
  <c r="I29" i="15" s="1"/>
  <c r="F28" i="15"/>
  <c r="J28" i="15" s="1"/>
  <c r="F27" i="15"/>
  <c r="G27" i="15" s="1"/>
  <c r="F26" i="15"/>
  <c r="J26" i="15" s="1"/>
  <c r="F25" i="15"/>
  <c r="I25" i="15" s="1"/>
  <c r="F24" i="15"/>
  <c r="I24" i="15" s="1"/>
  <c r="F23" i="15"/>
  <c r="I23" i="15" s="1"/>
  <c r="F22" i="15"/>
  <c r="H22" i="15" s="1"/>
  <c r="F21" i="15"/>
  <c r="I21" i="15" s="1"/>
  <c r="F20" i="15"/>
  <c r="J20" i="15" s="1"/>
  <c r="F18" i="15"/>
  <c r="F17" i="15"/>
  <c r="F5" i="15"/>
  <c r="I5" i="15" s="1"/>
  <c r="F4" i="15"/>
  <c r="J4" i="15" s="1"/>
  <c r="F3" i="15"/>
  <c r="I3" i="15" s="1"/>
  <c r="F2" i="15"/>
  <c r="H2" i="15" s="1"/>
  <c r="F32" i="14"/>
  <c r="F31" i="14"/>
  <c r="F30" i="14"/>
  <c r="F29" i="14"/>
  <c r="J29" i="14" s="1"/>
  <c r="F28" i="14"/>
  <c r="J28" i="14" s="1"/>
  <c r="F27" i="14"/>
  <c r="G27" i="14" s="1"/>
  <c r="F26" i="14"/>
  <c r="J26" i="14" s="1"/>
  <c r="F25" i="14"/>
  <c r="I25" i="14" s="1"/>
  <c r="F24" i="14"/>
  <c r="I24" i="14" s="1"/>
  <c r="F23" i="14"/>
  <c r="J23" i="14" s="1"/>
  <c r="F22" i="14"/>
  <c r="H22" i="14" s="1"/>
  <c r="F21" i="14"/>
  <c r="I21" i="14" s="1"/>
  <c r="F20" i="14"/>
  <c r="J20" i="14" s="1"/>
  <c r="F18" i="14"/>
  <c r="F17" i="14"/>
  <c r="F5" i="14"/>
  <c r="I5" i="14" s="1"/>
  <c r="F4" i="14"/>
  <c r="J4" i="14" s="1"/>
  <c r="F3" i="14"/>
  <c r="J3" i="14" s="1"/>
  <c r="F2" i="14"/>
  <c r="H2" i="14" s="1"/>
  <c r="F32" i="13"/>
  <c r="F31" i="13"/>
  <c r="F30" i="13"/>
  <c r="F29" i="13"/>
  <c r="I29" i="13" s="1"/>
  <c r="F28" i="13"/>
  <c r="J28" i="13" s="1"/>
  <c r="F27" i="13"/>
  <c r="G27" i="13" s="1"/>
  <c r="F26" i="13"/>
  <c r="J26" i="13" s="1"/>
  <c r="F25" i="13"/>
  <c r="I25" i="13" s="1"/>
  <c r="F24" i="13"/>
  <c r="I24" i="13" s="1"/>
  <c r="F23" i="13"/>
  <c r="I23" i="13" s="1"/>
  <c r="F22" i="13"/>
  <c r="J22" i="13" s="1"/>
  <c r="F21" i="13"/>
  <c r="H21" i="13" s="1"/>
  <c r="F20" i="13"/>
  <c r="J20" i="13" s="1"/>
  <c r="F18" i="13"/>
  <c r="F17" i="13"/>
  <c r="F5" i="13"/>
  <c r="I5" i="13" s="1"/>
  <c r="F4" i="13"/>
  <c r="I4" i="13" s="1"/>
  <c r="F3" i="13"/>
  <c r="H3" i="13" s="1"/>
  <c r="F2" i="13"/>
  <c r="J2" i="13" s="1"/>
  <c r="F32" i="12"/>
  <c r="F31" i="12"/>
  <c r="F30" i="12"/>
  <c r="F29" i="12"/>
  <c r="I29" i="12" s="1"/>
  <c r="F28" i="12"/>
  <c r="H28" i="12" s="1"/>
  <c r="F27" i="12"/>
  <c r="G27" i="12" s="1"/>
  <c r="F26" i="12"/>
  <c r="J26" i="12" s="1"/>
  <c r="F25" i="12"/>
  <c r="I25" i="12" s="1"/>
  <c r="F24" i="12"/>
  <c r="J24" i="12" s="1"/>
  <c r="F23" i="12"/>
  <c r="I23" i="12" s="1"/>
  <c r="F22" i="12"/>
  <c r="J22" i="12" s="1"/>
  <c r="F21" i="12"/>
  <c r="H21" i="12" s="1"/>
  <c r="F20" i="12"/>
  <c r="J20" i="12" s="1"/>
  <c r="F18" i="12"/>
  <c r="F17" i="12"/>
  <c r="F5" i="12"/>
  <c r="I5" i="12" s="1"/>
  <c r="F4" i="12"/>
  <c r="I4" i="12" s="1"/>
  <c r="F3" i="12"/>
  <c r="H3" i="12" s="1"/>
  <c r="F2" i="12"/>
  <c r="J2" i="12" s="1"/>
  <c r="F32" i="11"/>
  <c r="F31" i="11"/>
  <c r="F30" i="11"/>
  <c r="F29" i="11"/>
  <c r="J29" i="11" s="1"/>
  <c r="F28" i="11"/>
  <c r="I28" i="11" s="1"/>
  <c r="F27" i="11"/>
  <c r="H27" i="11" s="1"/>
  <c r="F26" i="11"/>
  <c r="J26" i="11" s="1"/>
  <c r="F25" i="11"/>
  <c r="G25" i="11" s="1"/>
  <c r="F24" i="11"/>
  <c r="I24" i="11" s="1"/>
  <c r="F23" i="11"/>
  <c r="J23" i="11" s="1"/>
  <c r="F22" i="11"/>
  <c r="I22" i="11" s="1"/>
  <c r="F21" i="11"/>
  <c r="H21" i="11" s="1"/>
  <c r="F20" i="11"/>
  <c r="H20" i="11" s="1"/>
  <c r="F18" i="11"/>
  <c r="F17" i="11"/>
  <c r="F5" i="11"/>
  <c r="G5" i="11" s="1"/>
  <c r="F4" i="11"/>
  <c r="I4" i="11" s="1"/>
  <c r="F3" i="11"/>
  <c r="I3" i="11" s="1"/>
  <c r="F2" i="11"/>
  <c r="I2" i="11" s="1"/>
  <c r="F32" i="10"/>
  <c r="F31" i="10"/>
  <c r="F30" i="10"/>
  <c r="F29" i="10"/>
  <c r="I29" i="10" s="1"/>
  <c r="F28" i="10"/>
  <c r="G28" i="10" s="1"/>
  <c r="F27" i="10"/>
  <c r="J27" i="10" s="1"/>
  <c r="F26" i="10"/>
  <c r="J26" i="10" s="1"/>
  <c r="F25" i="10"/>
  <c r="H25" i="10" s="1"/>
  <c r="F24" i="10"/>
  <c r="H24" i="10" s="1"/>
  <c r="F23" i="10"/>
  <c r="J23" i="10" s="1"/>
  <c r="F22" i="10"/>
  <c r="G22" i="10" s="1"/>
  <c r="F21" i="10"/>
  <c r="G21" i="10" s="1"/>
  <c r="F20" i="10"/>
  <c r="I20" i="10" s="1"/>
  <c r="F18" i="10"/>
  <c r="F17" i="10"/>
  <c r="F5" i="10"/>
  <c r="H5" i="10" s="1"/>
  <c r="F4" i="10"/>
  <c r="H4" i="10" s="1"/>
  <c r="F3" i="10"/>
  <c r="J3" i="10" s="1"/>
  <c r="F2" i="10"/>
  <c r="G2" i="10" s="1"/>
  <c r="F32" i="9"/>
  <c r="F31" i="9"/>
  <c r="F30" i="9"/>
  <c r="F29" i="9"/>
  <c r="J29" i="9" s="1"/>
  <c r="F28" i="9"/>
  <c r="J28" i="9" s="1"/>
  <c r="F27" i="9"/>
  <c r="J27" i="9" s="1"/>
  <c r="F26" i="9"/>
  <c r="J26" i="9" s="1"/>
  <c r="F25" i="9"/>
  <c r="H25" i="9" s="1"/>
  <c r="F24" i="9"/>
  <c r="J24" i="9" s="1"/>
  <c r="F23" i="9"/>
  <c r="J23" i="9" s="1"/>
  <c r="F22" i="9"/>
  <c r="I22" i="9" s="1"/>
  <c r="F21" i="9"/>
  <c r="J21" i="9" s="1"/>
  <c r="F20" i="9"/>
  <c r="I20" i="9" s="1"/>
  <c r="F18" i="9"/>
  <c r="F17" i="9"/>
  <c r="F5" i="9"/>
  <c r="G5" i="9" s="1"/>
  <c r="F4" i="9"/>
  <c r="J4" i="9" s="1"/>
  <c r="F3" i="9"/>
  <c r="I3" i="9" s="1"/>
  <c r="F2" i="9"/>
  <c r="I2" i="9" s="1"/>
  <c r="F32" i="8"/>
  <c r="F31" i="8"/>
  <c r="F30" i="8"/>
  <c r="F29" i="8"/>
  <c r="J29" i="8" s="1"/>
  <c r="F28" i="8"/>
  <c r="J28" i="8" s="1"/>
  <c r="F27" i="8"/>
  <c r="G27" i="8" s="1"/>
  <c r="F26" i="8"/>
  <c r="I26" i="8" s="1"/>
  <c r="F25" i="8"/>
  <c r="J25" i="8" s="1"/>
  <c r="F24" i="8"/>
  <c r="I24" i="8" s="1"/>
  <c r="F23" i="8"/>
  <c r="J23" i="8" s="1"/>
  <c r="F22" i="8"/>
  <c r="J22" i="8" s="1"/>
  <c r="F21" i="8"/>
  <c r="J21" i="8" s="1"/>
  <c r="F20" i="8"/>
  <c r="G20" i="8" s="1"/>
  <c r="F18" i="8"/>
  <c r="F17" i="8"/>
  <c r="F5" i="8"/>
  <c r="J5" i="8" s="1"/>
  <c r="F4" i="8"/>
  <c r="I4" i="8" s="1"/>
  <c r="F3" i="8"/>
  <c r="J3" i="8" s="1"/>
  <c r="F2" i="8"/>
  <c r="G2" i="8" s="1"/>
  <c r="F32" i="7"/>
  <c r="F31" i="7"/>
  <c r="F30" i="7"/>
  <c r="F29" i="7"/>
  <c r="I29" i="7" s="1"/>
  <c r="F28" i="7"/>
  <c r="J28" i="7" s="1"/>
  <c r="F27" i="7"/>
  <c r="G27" i="7" s="1"/>
  <c r="F26" i="7"/>
  <c r="J26" i="7" s="1"/>
  <c r="F25" i="7"/>
  <c r="I25" i="7" s="1"/>
  <c r="F24" i="7"/>
  <c r="I24" i="7" s="1"/>
  <c r="F23" i="7"/>
  <c r="J23" i="7" s="1"/>
  <c r="F22" i="7"/>
  <c r="J22" i="7" s="1"/>
  <c r="F21" i="7"/>
  <c r="I21" i="7" s="1"/>
  <c r="F20" i="7"/>
  <c r="J20" i="7" s="1"/>
  <c r="F18" i="7"/>
  <c r="F17" i="7"/>
  <c r="F5" i="7"/>
  <c r="I5" i="7" s="1"/>
  <c r="F4" i="7"/>
  <c r="I4" i="7" s="1"/>
  <c r="F3" i="7"/>
  <c r="I3" i="7" s="1"/>
  <c r="F2" i="7"/>
  <c r="J2" i="7" s="1"/>
  <c r="F32" i="6"/>
  <c r="F31" i="6"/>
  <c r="F29" i="6"/>
  <c r="J29" i="6" s="1"/>
  <c r="F28" i="6"/>
  <c r="J28" i="6" s="1"/>
  <c r="F27" i="6"/>
  <c r="G27" i="6" s="1"/>
  <c r="F26" i="6"/>
  <c r="J26" i="6" s="1"/>
  <c r="F25" i="6"/>
  <c r="I25" i="6" s="1"/>
  <c r="F24" i="6"/>
  <c r="I24" i="6" s="1"/>
  <c r="F23" i="6"/>
  <c r="H23" i="6" s="1"/>
  <c r="F22" i="6"/>
  <c r="H22" i="6" s="1"/>
  <c r="F21" i="6"/>
  <c r="J21" i="6" s="1"/>
  <c r="F20" i="6"/>
  <c r="J20" i="6" s="1"/>
  <c r="F18" i="6"/>
  <c r="F17" i="6"/>
  <c r="F5" i="6"/>
  <c r="I5" i="6" s="1"/>
  <c r="F4" i="6"/>
  <c r="I4" i="6" s="1"/>
  <c r="F3" i="6"/>
  <c r="H3" i="6" s="1"/>
  <c r="F2" i="6"/>
  <c r="H2" i="6" s="1"/>
  <c r="F27" i="1"/>
  <c r="G27" i="1" s="1"/>
  <c r="F28" i="1"/>
  <c r="I28" i="1" s="1"/>
  <c r="F29" i="1"/>
  <c r="G29" i="1" s="1"/>
  <c r="F31" i="1"/>
  <c r="F32" i="1"/>
  <c r="F21" i="1"/>
  <c r="I21" i="1" s="1"/>
  <c r="F22" i="1"/>
  <c r="J22" i="1" s="1"/>
  <c r="F23" i="1"/>
  <c r="H23" i="1" s="1"/>
  <c r="F24" i="1"/>
  <c r="G24" i="1" s="1"/>
  <c r="F25" i="1"/>
  <c r="J25" i="1" s="1"/>
  <c r="F26" i="1"/>
  <c r="G26" i="1" s="1"/>
  <c r="F20" i="1"/>
  <c r="J20" i="1" s="1"/>
  <c r="F3" i="1"/>
  <c r="J3" i="1" s="1"/>
  <c r="F4" i="1"/>
  <c r="G4" i="1" s="1"/>
  <c r="F5" i="1"/>
  <c r="G5" i="1" s="1"/>
  <c r="F17" i="1"/>
  <c r="F18" i="1"/>
  <c r="F2" i="1"/>
  <c r="I2" i="1" s="1"/>
  <c r="AB10" i="23"/>
  <c r="AB20" i="23"/>
  <c r="Q9" i="23"/>
  <c r="V18" i="23"/>
  <c r="AB15" i="23"/>
  <c r="M5" i="23"/>
  <c r="N4" i="23"/>
  <c r="Q18" i="23"/>
  <c r="U19" i="23"/>
  <c r="AF7" i="23"/>
  <c r="AI19" i="23"/>
  <c r="F16" i="23"/>
  <c r="AI20" i="23"/>
  <c r="AF4" i="23"/>
  <c r="AF15" i="23"/>
  <c r="K15" i="23"/>
  <c r="AH9" i="23"/>
  <c r="AF13" i="23"/>
  <c r="AC9" i="23"/>
  <c r="T7" i="23"/>
  <c r="F8" i="23"/>
  <c r="AG10" i="23"/>
  <c r="AF12" i="23"/>
  <c r="AC8" i="23"/>
  <c r="Z4" i="23"/>
  <c r="O9" i="23"/>
  <c r="M12" i="23"/>
  <c r="AC18" i="23"/>
  <c r="M19" i="23"/>
  <c r="AF5" i="23"/>
  <c r="K16" i="23"/>
  <c r="P20" i="23"/>
  <c r="J9" i="23"/>
  <c r="P10" i="23"/>
  <c r="J18" i="23"/>
  <c r="Y5" i="23"/>
  <c r="M11" i="23"/>
  <c r="AB16" i="23"/>
  <c r="K13" i="23"/>
  <c r="U10" i="23"/>
  <c r="AF14" i="23"/>
  <c r="N20" i="23"/>
  <c r="P16" i="23"/>
  <c r="U20" i="23"/>
  <c r="AF21" i="23"/>
  <c r="K14" i="23"/>
  <c r="P4" i="23"/>
  <c r="P8" i="23"/>
  <c r="K5" i="23"/>
  <c r="AF20" i="23"/>
  <c r="W13" i="23"/>
  <c r="AD4" i="23"/>
  <c r="AI11" i="23"/>
  <c r="X15" i="23"/>
  <c r="AF11" i="23"/>
  <c r="Y4" i="23"/>
  <c r="AJ4" i="23"/>
  <c r="AF19" i="23"/>
  <c r="AB19" i="23"/>
  <c r="V17" i="23"/>
  <c r="W14" i="23"/>
  <c r="V9" i="23"/>
  <c r="AF6" i="23"/>
  <c r="J7" i="23"/>
  <c r="AC21" i="23"/>
  <c r="P19" i="23"/>
  <c r="AA9" i="23"/>
  <c r="W15" i="23"/>
  <c r="AF17" i="23"/>
  <c r="W5" i="23"/>
  <c r="I4" i="15" l="1"/>
  <c r="I20" i="12"/>
  <c r="H26" i="13"/>
  <c r="I2" i="17"/>
  <c r="H22" i="22"/>
  <c r="G2" i="11"/>
  <c r="H3" i="18"/>
  <c r="J25" i="6"/>
  <c r="G23" i="1"/>
  <c r="G2" i="20"/>
  <c r="G26" i="21"/>
  <c r="I28" i="22"/>
  <c r="I3" i="12"/>
  <c r="I21" i="12"/>
  <c r="I22" i="16"/>
  <c r="G23" i="6"/>
  <c r="H5" i="22"/>
  <c r="I5" i="8"/>
  <c r="I29" i="9"/>
  <c r="I23" i="6"/>
  <c r="G21" i="8"/>
  <c r="G29" i="11"/>
  <c r="J29" i="12"/>
  <c r="J28" i="17"/>
  <c r="J3" i="18"/>
  <c r="G22" i="20"/>
  <c r="J23" i="6"/>
  <c r="I21" i="8"/>
  <c r="H5" i="15"/>
  <c r="H24" i="15"/>
  <c r="J20" i="19"/>
  <c r="H22" i="20"/>
  <c r="I23" i="1"/>
  <c r="G21" i="1"/>
  <c r="G25" i="6"/>
  <c r="G27" i="11"/>
  <c r="H2" i="11"/>
  <c r="J28" i="11"/>
  <c r="G3" i="12"/>
  <c r="G23" i="13"/>
  <c r="I28" i="15"/>
  <c r="G4" i="16"/>
  <c r="J3" i="21"/>
  <c r="J21" i="1"/>
  <c r="H3" i="8"/>
  <c r="J2" i="9"/>
  <c r="G20" i="10"/>
  <c r="J3" i="12"/>
  <c r="G3" i="13"/>
  <c r="I26" i="13"/>
  <c r="J4" i="16"/>
  <c r="J5" i="18"/>
  <c r="J25" i="19"/>
  <c r="J20" i="21"/>
  <c r="H26" i="21"/>
  <c r="I3" i="13"/>
  <c r="J3" i="9"/>
  <c r="G22" i="9"/>
  <c r="I21" i="10"/>
  <c r="I20" i="11"/>
  <c r="G25" i="1"/>
  <c r="J3" i="7"/>
  <c r="H5" i="8"/>
  <c r="I29" i="8"/>
  <c r="J22" i="9"/>
  <c r="J4" i="10"/>
  <c r="H28" i="10"/>
  <c r="J2" i="11"/>
  <c r="J27" i="11"/>
  <c r="J23" i="13"/>
  <c r="J25" i="14"/>
  <c r="G2" i="17"/>
  <c r="J20" i="17"/>
  <c r="G3" i="18"/>
  <c r="H26" i="18"/>
  <c r="G5" i="22"/>
  <c r="J22" i="22"/>
  <c r="G23" i="9"/>
  <c r="I27" i="15"/>
  <c r="H5" i="20"/>
  <c r="J5" i="6"/>
  <c r="G2" i="1"/>
  <c r="H21" i="1"/>
  <c r="J25" i="7"/>
  <c r="I24" i="10"/>
  <c r="G20" i="12"/>
  <c r="G4" i="15"/>
  <c r="H22" i="18"/>
  <c r="I28" i="18"/>
  <c r="J5" i="20"/>
  <c r="G4" i="7"/>
  <c r="H22" i="7"/>
  <c r="J28" i="10"/>
  <c r="I27" i="11"/>
  <c r="H26" i="12"/>
  <c r="H23" i="13"/>
  <c r="H23" i="16"/>
  <c r="H27" i="16"/>
  <c r="I5" i="19"/>
  <c r="H22" i="19"/>
  <c r="H2" i="20"/>
  <c r="G23" i="20"/>
  <c r="J23" i="21"/>
  <c r="H4" i="7"/>
  <c r="I22" i="7"/>
  <c r="J23" i="16"/>
  <c r="G3" i="1"/>
  <c r="I20" i="1"/>
  <c r="J4" i="6"/>
  <c r="I3" i="8"/>
  <c r="H20" i="8"/>
  <c r="H22" i="9"/>
  <c r="G27" i="9"/>
  <c r="J24" i="10"/>
  <c r="H25" i="11"/>
  <c r="G2" i="12"/>
  <c r="G2" i="13"/>
  <c r="J5" i="14"/>
  <c r="H4" i="15"/>
  <c r="I26" i="17"/>
  <c r="J22" i="18"/>
  <c r="H2" i="19"/>
  <c r="J22" i="19"/>
  <c r="I20" i="20"/>
  <c r="I28" i="21"/>
  <c r="I3" i="1"/>
  <c r="I25" i="11"/>
  <c r="I2" i="12"/>
  <c r="H2" i="13"/>
  <c r="I2" i="19"/>
  <c r="G4" i="20"/>
  <c r="G2" i="21"/>
  <c r="H25" i="21"/>
  <c r="J28" i="21"/>
  <c r="H4" i="22"/>
  <c r="G25" i="22"/>
  <c r="G29" i="22"/>
  <c r="I26" i="12"/>
  <c r="I20" i="8"/>
  <c r="H27" i="9"/>
  <c r="H28" i="1"/>
  <c r="J29" i="1"/>
  <c r="G5" i="6"/>
  <c r="H25" i="6"/>
  <c r="H24" i="7"/>
  <c r="G2" i="9"/>
  <c r="I27" i="9"/>
  <c r="H5" i="11"/>
  <c r="G22" i="11"/>
  <c r="J25" i="11"/>
  <c r="H23" i="12"/>
  <c r="H25" i="13"/>
  <c r="G2" i="15"/>
  <c r="I22" i="15"/>
  <c r="H25" i="16"/>
  <c r="H5" i="17"/>
  <c r="G27" i="17"/>
  <c r="J2" i="19"/>
  <c r="H2" i="21"/>
  <c r="I25" i="21"/>
  <c r="I4" i="22"/>
  <c r="I25" i="22"/>
  <c r="J5" i="19"/>
  <c r="I22" i="19"/>
  <c r="H29" i="1"/>
  <c r="H3" i="1"/>
  <c r="H2" i="1"/>
  <c r="I26" i="1"/>
  <c r="J23" i="1"/>
  <c r="H5" i="6"/>
  <c r="J24" i="7"/>
  <c r="H2" i="9"/>
  <c r="I5" i="11"/>
  <c r="H22" i="11"/>
  <c r="I2" i="15"/>
  <c r="G28" i="15"/>
  <c r="J25" i="16"/>
  <c r="I5" i="17"/>
  <c r="G23" i="17"/>
  <c r="H27" i="17"/>
  <c r="G24" i="18"/>
  <c r="G22" i="22"/>
  <c r="J25" i="22"/>
  <c r="I25" i="1"/>
  <c r="J22" i="11"/>
  <c r="J2" i="15"/>
  <c r="J23" i="17"/>
  <c r="J24" i="18"/>
  <c r="I5" i="1"/>
  <c r="J2" i="1"/>
  <c r="G20" i="1"/>
  <c r="G28" i="1"/>
  <c r="H25" i="1"/>
  <c r="I22" i="1"/>
  <c r="J28" i="1"/>
  <c r="H20" i="6"/>
  <c r="G24" i="6"/>
  <c r="H26" i="6"/>
  <c r="G2" i="7"/>
  <c r="G23" i="7"/>
  <c r="H4" i="8"/>
  <c r="G23" i="8"/>
  <c r="G25" i="8"/>
  <c r="H28" i="8"/>
  <c r="J20" i="9"/>
  <c r="J21" i="10"/>
  <c r="G26" i="10"/>
  <c r="I28" i="10"/>
  <c r="J20" i="11"/>
  <c r="H29" i="11"/>
  <c r="H5" i="12"/>
  <c r="J21" i="12"/>
  <c r="J23" i="12"/>
  <c r="G28" i="12"/>
  <c r="J3" i="13"/>
  <c r="I21" i="13"/>
  <c r="G4" i="14"/>
  <c r="G24" i="14"/>
  <c r="H27" i="14"/>
  <c r="G20" i="15"/>
  <c r="J22" i="15"/>
  <c r="J24" i="15"/>
  <c r="I2" i="16"/>
  <c r="I23" i="16"/>
  <c r="I25" i="16"/>
  <c r="I29" i="16"/>
  <c r="J2" i="17"/>
  <c r="G22" i="17"/>
  <c r="I22" i="18"/>
  <c r="G3" i="20"/>
  <c r="I5" i="20"/>
  <c r="G24" i="20"/>
  <c r="H27" i="20"/>
  <c r="H5" i="21"/>
  <c r="G2" i="22"/>
  <c r="I20" i="22"/>
  <c r="H5" i="1"/>
  <c r="H2" i="7"/>
  <c r="J4" i="8"/>
  <c r="H23" i="8"/>
  <c r="H25" i="8"/>
  <c r="I28" i="12"/>
  <c r="H24" i="14"/>
  <c r="H22" i="17"/>
  <c r="I5" i="21"/>
  <c r="H2" i="22"/>
  <c r="I27" i="1"/>
  <c r="H22" i="1"/>
  <c r="J27" i="1"/>
  <c r="H23" i="7"/>
  <c r="I28" i="8"/>
  <c r="J21" i="13"/>
  <c r="H4" i="14"/>
  <c r="I3" i="20"/>
  <c r="I4" i="1"/>
  <c r="J4" i="1"/>
  <c r="H20" i="1"/>
  <c r="I24" i="1"/>
  <c r="J26" i="1"/>
  <c r="I2" i="7"/>
  <c r="H27" i="7"/>
  <c r="H5" i="9"/>
  <c r="G21" i="9"/>
  <c r="I26" i="10"/>
  <c r="G21" i="11"/>
  <c r="H24" i="11"/>
  <c r="G22" i="12"/>
  <c r="J28" i="12"/>
  <c r="J4" i="13"/>
  <c r="I4" i="14"/>
  <c r="J24" i="14"/>
  <c r="G23" i="15"/>
  <c r="H25" i="15"/>
  <c r="G29" i="15"/>
  <c r="G3" i="16"/>
  <c r="G5" i="16"/>
  <c r="I21" i="16"/>
  <c r="G3" i="17"/>
  <c r="I22" i="17"/>
  <c r="H25" i="17"/>
  <c r="G2" i="18"/>
  <c r="H25" i="18"/>
  <c r="G27" i="19"/>
  <c r="J3" i="20"/>
  <c r="H25" i="20"/>
  <c r="I28" i="20"/>
  <c r="J5" i="21"/>
  <c r="G22" i="21"/>
  <c r="J2" i="22"/>
  <c r="G21" i="22"/>
  <c r="J23" i="22"/>
  <c r="H29" i="22"/>
  <c r="J5" i="1"/>
  <c r="H26" i="10"/>
  <c r="I20" i="15"/>
  <c r="H27" i="1"/>
  <c r="G22" i="1"/>
  <c r="G3" i="6"/>
  <c r="J24" i="6"/>
  <c r="I23" i="8"/>
  <c r="I25" i="8"/>
  <c r="H4" i="1"/>
  <c r="I29" i="1"/>
  <c r="H24" i="1"/>
  <c r="I3" i="6"/>
  <c r="I28" i="6"/>
  <c r="J4" i="7"/>
  <c r="G22" i="7"/>
  <c r="G24" i="7"/>
  <c r="I27" i="7"/>
  <c r="G3" i="8"/>
  <c r="G5" i="8"/>
  <c r="G29" i="8"/>
  <c r="I5" i="9"/>
  <c r="H24" i="9"/>
  <c r="H29" i="10"/>
  <c r="J5" i="11"/>
  <c r="H22" i="12"/>
  <c r="I2" i="13"/>
  <c r="G22" i="13"/>
  <c r="J24" i="13"/>
  <c r="G28" i="13"/>
  <c r="I2" i="14"/>
  <c r="I22" i="14"/>
  <c r="G3" i="15"/>
  <c r="G21" i="15"/>
  <c r="H23" i="15"/>
  <c r="J29" i="15"/>
  <c r="H3" i="16"/>
  <c r="H5" i="16"/>
  <c r="G24" i="16"/>
  <c r="H26" i="16"/>
  <c r="H3" i="17"/>
  <c r="I25" i="17"/>
  <c r="H2" i="18"/>
  <c r="G4" i="18"/>
  <c r="I20" i="18"/>
  <c r="G23" i="18"/>
  <c r="J25" i="18"/>
  <c r="G3" i="19"/>
  <c r="G23" i="19"/>
  <c r="H27" i="19"/>
  <c r="I22" i="20"/>
  <c r="I25" i="20"/>
  <c r="J28" i="20"/>
  <c r="I2" i="21"/>
  <c r="H22" i="21"/>
  <c r="J25" i="21"/>
  <c r="I5" i="22"/>
  <c r="H21" i="22"/>
  <c r="I29" i="22"/>
  <c r="J5" i="9"/>
  <c r="J29" i="10"/>
  <c r="I22" i="12"/>
  <c r="H22" i="13"/>
  <c r="I28" i="13"/>
  <c r="J2" i="14"/>
  <c r="J22" i="14"/>
  <c r="H3" i="15"/>
  <c r="J21" i="15"/>
  <c r="J23" i="15"/>
  <c r="I3" i="16"/>
  <c r="I5" i="16"/>
  <c r="J24" i="16"/>
  <c r="J3" i="17"/>
  <c r="J25" i="17"/>
  <c r="I2" i="18"/>
  <c r="J4" i="18"/>
  <c r="H23" i="18"/>
  <c r="H3" i="19"/>
  <c r="I27" i="19"/>
  <c r="J25" i="20"/>
  <c r="I22" i="21"/>
  <c r="J3" i="22"/>
  <c r="I21" i="22"/>
  <c r="H24" i="22"/>
  <c r="J24" i="1"/>
  <c r="J3" i="6"/>
  <c r="H26" i="1"/>
  <c r="G3" i="7"/>
  <c r="J5" i="7"/>
  <c r="I22" i="13"/>
  <c r="J3" i="15"/>
  <c r="J23" i="18"/>
  <c r="I24" i="22"/>
  <c r="I27" i="22"/>
  <c r="H24" i="6"/>
  <c r="H24" i="8"/>
  <c r="J26" i="8"/>
  <c r="I25" i="9"/>
  <c r="G4" i="6"/>
  <c r="H3" i="7"/>
  <c r="J24" i="8"/>
  <c r="G3" i="9"/>
  <c r="J25" i="9"/>
  <c r="G29" i="9"/>
  <c r="I4" i="10"/>
  <c r="H21" i="10"/>
  <c r="J3" i="11"/>
  <c r="H2" i="12"/>
  <c r="J4" i="12"/>
  <c r="G23" i="12"/>
  <c r="J29" i="13"/>
  <c r="G3" i="14"/>
  <c r="G23" i="14"/>
  <c r="H26" i="14"/>
  <c r="G22" i="15"/>
  <c r="G24" i="15"/>
  <c r="I21" i="17"/>
  <c r="H23" i="17"/>
  <c r="H26" i="17"/>
  <c r="H5" i="18"/>
  <c r="I26" i="18"/>
  <c r="I25" i="19"/>
  <c r="J28" i="19"/>
  <c r="I2" i="20"/>
  <c r="J20" i="20"/>
  <c r="J23" i="20"/>
  <c r="H26" i="20"/>
  <c r="I20" i="21"/>
  <c r="G4" i="22"/>
  <c r="G24" i="22"/>
  <c r="H27" i="22"/>
  <c r="H26" i="22"/>
  <c r="J27" i="22"/>
  <c r="G3" i="22"/>
  <c r="G23" i="22"/>
  <c r="H3" i="22"/>
  <c r="G20" i="22"/>
  <c r="H23" i="22"/>
  <c r="I26" i="22"/>
  <c r="G28" i="22"/>
  <c r="G26" i="22"/>
  <c r="H20" i="22"/>
  <c r="H28" i="22"/>
  <c r="G24" i="21"/>
  <c r="H27" i="21"/>
  <c r="H4" i="21"/>
  <c r="G21" i="21"/>
  <c r="H24" i="21"/>
  <c r="I27" i="21"/>
  <c r="G29" i="21"/>
  <c r="I4" i="21"/>
  <c r="H21" i="21"/>
  <c r="I24" i="21"/>
  <c r="J27" i="21"/>
  <c r="H29" i="21"/>
  <c r="J4" i="21"/>
  <c r="I29" i="21"/>
  <c r="G3" i="21"/>
  <c r="H3" i="21"/>
  <c r="G20" i="21"/>
  <c r="J21" i="21"/>
  <c r="H23" i="21"/>
  <c r="I26" i="21"/>
  <c r="G28" i="21"/>
  <c r="G23" i="21"/>
  <c r="H4" i="20"/>
  <c r="G21" i="20"/>
  <c r="H24" i="20"/>
  <c r="I27" i="20"/>
  <c r="G29" i="20"/>
  <c r="I4" i="20"/>
  <c r="H21" i="20"/>
  <c r="I24" i="20"/>
  <c r="G26" i="20"/>
  <c r="J27" i="20"/>
  <c r="H29" i="20"/>
  <c r="I21" i="20"/>
  <c r="I29" i="20"/>
  <c r="G20" i="20"/>
  <c r="H23" i="20"/>
  <c r="I26" i="20"/>
  <c r="G28" i="20"/>
  <c r="G4" i="19"/>
  <c r="G29" i="19"/>
  <c r="I4" i="19"/>
  <c r="H21" i="19"/>
  <c r="I24" i="19"/>
  <c r="G26" i="19"/>
  <c r="H29" i="19"/>
  <c r="G21" i="19"/>
  <c r="I21" i="19"/>
  <c r="I29" i="19"/>
  <c r="G20" i="19"/>
  <c r="H23" i="19"/>
  <c r="I26" i="19"/>
  <c r="G28" i="19"/>
  <c r="G24" i="19"/>
  <c r="H4" i="19"/>
  <c r="H24" i="19"/>
  <c r="H26" i="19"/>
  <c r="I3" i="19"/>
  <c r="G5" i="19"/>
  <c r="H20" i="19"/>
  <c r="I23" i="19"/>
  <c r="G25" i="19"/>
  <c r="H28" i="19"/>
  <c r="H4" i="18"/>
  <c r="G21" i="18"/>
  <c r="H24" i="18"/>
  <c r="I27" i="18"/>
  <c r="G29" i="18"/>
  <c r="H27" i="18"/>
  <c r="H21" i="18"/>
  <c r="G26" i="18"/>
  <c r="J27" i="18"/>
  <c r="H29" i="18"/>
  <c r="I21" i="18"/>
  <c r="I29" i="18"/>
  <c r="G20" i="18"/>
  <c r="G28" i="18"/>
  <c r="G5" i="18"/>
  <c r="H20" i="18"/>
  <c r="G25" i="18"/>
  <c r="H28" i="18"/>
  <c r="G4" i="17"/>
  <c r="J5" i="17"/>
  <c r="G24" i="17"/>
  <c r="H4" i="17"/>
  <c r="G21" i="17"/>
  <c r="H24" i="17"/>
  <c r="I27" i="17"/>
  <c r="G29" i="17"/>
  <c r="I4" i="17"/>
  <c r="H21" i="17"/>
  <c r="I24" i="17"/>
  <c r="G26" i="17"/>
  <c r="H29" i="17"/>
  <c r="I29" i="17"/>
  <c r="G20" i="17"/>
  <c r="G28" i="17"/>
  <c r="H20" i="17"/>
  <c r="H28" i="17"/>
  <c r="J2" i="16"/>
  <c r="H4" i="16"/>
  <c r="G21" i="16"/>
  <c r="J22" i="16"/>
  <c r="H24" i="16"/>
  <c r="I27" i="16"/>
  <c r="G29" i="16"/>
  <c r="H21" i="16"/>
  <c r="G26" i="16"/>
  <c r="J27" i="16"/>
  <c r="H29" i="16"/>
  <c r="G20" i="16"/>
  <c r="I26" i="16"/>
  <c r="G28" i="16"/>
  <c r="H20" i="16"/>
  <c r="H28" i="16"/>
  <c r="G2" i="16"/>
  <c r="I20" i="16"/>
  <c r="G22" i="16"/>
  <c r="I28" i="16"/>
  <c r="J5" i="15"/>
  <c r="J25" i="15"/>
  <c r="H27" i="15"/>
  <c r="H21" i="15"/>
  <c r="G26" i="15"/>
  <c r="J27" i="15"/>
  <c r="H29" i="15"/>
  <c r="H26" i="15"/>
  <c r="I26" i="15"/>
  <c r="G5" i="15"/>
  <c r="H20" i="15"/>
  <c r="G25" i="15"/>
  <c r="H28" i="15"/>
  <c r="G21" i="14"/>
  <c r="I27" i="14"/>
  <c r="G29" i="14"/>
  <c r="H21" i="14"/>
  <c r="G26" i="14"/>
  <c r="J27" i="14"/>
  <c r="H29" i="14"/>
  <c r="I29" i="14"/>
  <c r="H3" i="14"/>
  <c r="G20" i="14"/>
  <c r="J21" i="14"/>
  <c r="H23" i="14"/>
  <c r="I26" i="14"/>
  <c r="G28" i="14"/>
  <c r="I3" i="14"/>
  <c r="G5" i="14"/>
  <c r="H20" i="14"/>
  <c r="I23" i="14"/>
  <c r="G25" i="14"/>
  <c r="H28" i="14"/>
  <c r="G2" i="14"/>
  <c r="H5" i="14"/>
  <c r="I20" i="14"/>
  <c r="G22" i="14"/>
  <c r="H25" i="14"/>
  <c r="I28" i="14"/>
  <c r="G4" i="13"/>
  <c r="J5" i="13"/>
  <c r="H4" i="13"/>
  <c r="G21" i="13"/>
  <c r="H24" i="13"/>
  <c r="I27" i="13"/>
  <c r="G29" i="13"/>
  <c r="H5" i="13"/>
  <c r="G24" i="13"/>
  <c r="J25" i="13"/>
  <c r="H27" i="13"/>
  <c r="G26" i="13"/>
  <c r="J27" i="13"/>
  <c r="H29" i="13"/>
  <c r="G20" i="13"/>
  <c r="G5" i="13"/>
  <c r="H20" i="13"/>
  <c r="G25" i="13"/>
  <c r="H28" i="13"/>
  <c r="I20" i="13"/>
  <c r="G4" i="12"/>
  <c r="J5" i="12"/>
  <c r="H4" i="12"/>
  <c r="G21" i="12"/>
  <c r="H24" i="12"/>
  <c r="I27" i="12"/>
  <c r="G29" i="12"/>
  <c r="G24" i="12"/>
  <c r="J25" i="12"/>
  <c r="H27" i="12"/>
  <c r="I24" i="12"/>
  <c r="G26" i="12"/>
  <c r="J27" i="12"/>
  <c r="H29" i="12"/>
  <c r="G5" i="12"/>
  <c r="H20" i="12"/>
  <c r="G25" i="12"/>
  <c r="H25" i="12"/>
  <c r="G4" i="11"/>
  <c r="G24" i="11"/>
  <c r="H4" i="11"/>
  <c r="G3" i="11"/>
  <c r="J4" i="11"/>
  <c r="I21" i="11"/>
  <c r="G23" i="11"/>
  <c r="J24" i="11"/>
  <c r="H26" i="11"/>
  <c r="I29" i="11"/>
  <c r="H3" i="11"/>
  <c r="G20" i="11"/>
  <c r="J21" i="11"/>
  <c r="H23" i="11"/>
  <c r="I26" i="11"/>
  <c r="G28" i="11"/>
  <c r="G26" i="11"/>
  <c r="I23" i="11"/>
  <c r="H28" i="11"/>
  <c r="H2" i="10"/>
  <c r="I5" i="10"/>
  <c r="J20" i="10"/>
  <c r="H22" i="10"/>
  <c r="I25" i="10"/>
  <c r="G27" i="10"/>
  <c r="I2" i="10"/>
  <c r="G4" i="10"/>
  <c r="J5" i="10"/>
  <c r="I22" i="10"/>
  <c r="G24" i="10"/>
  <c r="J25" i="10"/>
  <c r="H27" i="10"/>
  <c r="J2" i="10"/>
  <c r="J22" i="10"/>
  <c r="I27" i="10"/>
  <c r="G29" i="10"/>
  <c r="G3" i="10"/>
  <c r="G23" i="10"/>
  <c r="H23" i="10"/>
  <c r="I3" i="10"/>
  <c r="G5" i="10"/>
  <c r="H20" i="10"/>
  <c r="I23" i="10"/>
  <c r="G25" i="10"/>
  <c r="H3" i="10"/>
  <c r="G4" i="9"/>
  <c r="G24" i="9"/>
  <c r="H4" i="9"/>
  <c r="I4" i="9"/>
  <c r="H21" i="9"/>
  <c r="I24" i="9"/>
  <c r="G26" i="9"/>
  <c r="H29" i="9"/>
  <c r="I21" i="9"/>
  <c r="H3" i="9"/>
  <c r="G20" i="9"/>
  <c r="H23" i="9"/>
  <c r="I26" i="9"/>
  <c r="G28" i="9"/>
  <c r="H26" i="9"/>
  <c r="H20" i="9"/>
  <c r="I23" i="9"/>
  <c r="G25" i="9"/>
  <c r="H28" i="9"/>
  <c r="I28" i="9"/>
  <c r="G22" i="8"/>
  <c r="H2" i="8"/>
  <c r="J20" i="8"/>
  <c r="H22" i="8"/>
  <c r="I2" i="8"/>
  <c r="G4" i="8"/>
  <c r="I22" i="8"/>
  <c r="G24" i="8"/>
  <c r="H27" i="8"/>
  <c r="I27" i="8"/>
  <c r="H21" i="8"/>
  <c r="G26" i="8"/>
  <c r="J27" i="8"/>
  <c r="H29" i="8"/>
  <c r="J2" i="8"/>
  <c r="H26" i="8"/>
  <c r="G28" i="8"/>
  <c r="G21" i="7"/>
  <c r="G29" i="7"/>
  <c r="H21" i="7"/>
  <c r="G26" i="7"/>
  <c r="J27" i="7"/>
  <c r="H29" i="7"/>
  <c r="G20" i="7"/>
  <c r="J21" i="7"/>
  <c r="I26" i="7"/>
  <c r="G28" i="7"/>
  <c r="J29" i="7"/>
  <c r="H26" i="7"/>
  <c r="G5" i="7"/>
  <c r="H20" i="7"/>
  <c r="I23" i="7"/>
  <c r="G25" i="7"/>
  <c r="H28" i="7"/>
  <c r="H5" i="7"/>
  <c r="I20" i="7"/>
  <c r="H25" i="7"/>
  <c r="I28" i="7"/>
  <c r="I27" i="6"/>
  <c r="G29" i="6"/>
  <c r="I2" i="6"/>
  <c r="I22" i="6"/>
  <c r="H27" i="6"/>
  <c r="J2" i="6"/>
  <c r="H4" i="6"/>
  <c r="G21" i="6"/>
  <c r="J22" i="6"/>
  <c r="H21" i="6"/>
  <c r="G26" i="6"/>
  <c r="J27" i="6"/>
  <c r="J30" i="6" s="1"/>
  <c r="H29" i="6"/>
  <c r="I21" i="6"/>
  <c r="I29" i="6"/>
  <c r="G20" i="6"/>
  <c r="I26" i="6"/>
  <c r="G28" i="6"/>
  <c r="H28" i="6"/>
  <c r="G2" i="6"/>
  <c r="I20" i="6"/>
  <c r="G22" i="6"/>
  <c r="I30" i="6" l="1"/>
  <c r="H30" i="6"/>
  <c r="G30" i="6"/>
  <c r="T5" i="23"/>
  <c r="AD9" i="23"/>
  <c r="H9" i="23"/>
  <c r="K18" i="23"/>
  <c r="S4" i="23"/>
  <c r="X19" i="23"/>
  <c r="X10" i="23"/>
  <c r="W19" i="23"/>
  <c r="L17" i="23"/>
  <c r="V7" i="23"/>
  <c r="AA5" i="23"/>
  <c r="M9" i="23"/>
  <c r="M4" i="23"/>
  <c r="Y14" i="23"/>
  <c r="P17" i="23"/>
  <c r="AA20" i="23"/>
  <c r="AJ20" i="23"/>
  <c r="M21" i="23"/>
  <c r="AE17" i="23"/>
  <c r="R18" i="23"/>
  <c r="Y13" i="23"/>
  <c r="I8" i="23"/>
  <c r="W4" i="23"/>
  <c r="AD12" i="23"/>
  <c r="M6" i="23"/>
  <c r="Q13" i="23"/>
  <c r="AK12" i="23"/>
  <c r="AI17" i="23"/>
  <c r="M17" i="23"/>
  <c r="AA17" i="23"/>
  <c r="AA21" i="23"/>
  <c r="AI13" i="23"/>
  <c r="AB11" i="23"/>
  <c r="AC5" i="23"/>
  <c r="AB8" i="23"/>
  <c r="P13" i="23"/>
  <c r="AD18" i="23"/>
  <c r="U18" i="23"/>
  <c r="AD5" i="23"/>
  <c r="J16" i="23"/>
  <c r="M16" i="23"/>
  <c r="J14" i="23"/>
  <c r="U6" i="23"/>
  <c r="AC7" i="23"/>
  <c r="I19" i="23"/>
  <c r="AK20" i="23"/>
  <c r="W8" i="23"/>
  <c r="AF9" i="23"/>
  <c r="R13" i="23"/>
  <c r="N7" i="23"/>
  <c r="AE18" i="23"/>
  <c r="L12" i="23"/>
  <c r="X18" i="23"/>
  <c r="AC16" i="23"/>
  <c r="O18" i="23"/>
  <c r="Z20" i="23"/>
  <c r="J19" i="23"/>
  <c r="M15" i="23"/>
  <c r="R16" i="23"/>
  <c r="I4" i="23"/>
  <c r="W20" i="23"/>
  <c r="W6" i="23"/>
  <c r="X7" i="23"/>
  <c r="N6" i="23"/>
  <c r="I13" i="23"/>
  <c r="I14" i="23"/>
  <c r="L14" i="23"/>
  <c r="V19" i="23"/>
  <c r="AI5" i="23"/>
  <c r="L9" i="23"/>
  <c r="K9" i="23"/>
  <c r="AK6" i="23"/>
  <c r="AE20" i="23"/>
  <c r="AE11" i="23"/>
  <c r="L16" i="23"/>
  <c r="X9" i="23"/>
  <c r="Q8" i="23"/>
  <c r="S17" i="23"/>
  <c r="W11" i="23"/>
  <c r="W18" i="23"/>
  <c r="AD13" i="23"/>
  <c r="AH15" i="23"/>
  <c r="O4" i="23"/>
  <c r="O12" i="23"/>
  <c r="AB7" i="23"/>
  <c r="AI8" i="23"/>
  <c r="AI4" i="23"/>
  <c r="L7" i="23"/>
  <c r="Y7" i="23"/>
  <c r="X12" i="23"/>
  <c r="Z13" i="23"/>
  <c r="S7" i="23"/>
  <c r="AF8" i="23"/>
  <c r="O21" i="23"/>
  <c r="R7" i="23"/>
  <c r="Y15" i="23"/>
  <c r="U4" i="23"/>
  <c r="AH20" i="23"/>
  <c r="V15" i="23"/>
  <c r="M14" i="23"/>
  <c r="AG12" i="23"/>
  <c r="H18" i="23"/>
  <c r="AK9" i="23"/>
  <c r="AJ10" i="23"/>
  <c r="O7" i="23"/>
  <c r="K12" i="23"/>
  <c r="J13" i="23"/>
  <c r="AI10" i="23"/>
  <c r="V4" i="23"/>
  <c r="V10" i="23"/>
  <c r="AB13" i="23"/>
  <c r="AI15" i="23"/>
  <c r="AJ13" i="23"/>
  <c r="X17" i="23"/>
  <c r="AD7" i="23"/>
  <c r="H8" i="23"/>
  <c r="I18" i="23"/>
  <c r="M13" i="23"/>
  <c r="AH14" i="23"/>
  <c r="AA6" i="23"/>
  <c r="S10" i="23"/>
  <c r="AJ12" i="23"/>
  <c r="N17" i="23"/>
  <c r="AG11" i="23"/>
  <c r="AK14" i="23"/>
  <c r="R8" i="23"/>
  <c r="I15" i="23"/>
  <c r="AK5" i="23"/>
  <c r="AG15" i="23"/>
  <c r="L6" i="23"/>
  <c r="U9" i="23"/>
  <c r="Y11" i="23"/>
  <c r="AJ9" i="23"/>
  <c r="R17" i="23"/>
  <c r="AD14" i="23"/>
  <c r="AA15" i="23"/>
  <c r="AA14" i="23"/>
  <c r="S12" i="23"/>
  <c r="T19" i="23"/>
  <c r="Z9" i="23"/>
  <c r="AK17" i="23"/>
  <c r="AE5" i="23"/>
  <c r="R12" i="23"/>
  <c r="Q19" i="23"/>
  <c r="N21" i="23"/>
  <c r="AE13" i="23"/>
  <c r="AH17" i="23"/>
  <c r="H21" i="23"/>
  <c r="K8" i="23"/>
  <c r="L4" i="23"/>
  <c r="AK19" i="23"/>
  <c r="T18" i="23"/>
  <c r="N12" i="23"/>
  <c r="Q17" i="23"/>
  <c r="J15" i="23"/>
  <c r="AG19" i="23"/>
  <c r="X4" i="23"/>
  <c r="J21" i="23"/>
  <c r="AA7" i="23"/>
  <c r="L8" i="23"/>
  <c r="H14" i="23"/>
  <c r="AA10" i="23"/>
  <c r="AJ7" i="23"/>
  <c r="X5" i="23"/>
  <c r="AE16" i="23"/>
  <c r="N19" i="23"/>
  <c r="AE6" i="23"/>
  <c r="X20" i="23"/>
  <c r="Z15" i="23"/>
  <c r="AB21" i="23"/>
  <c r="S5" i="23"/>
  <c r="AH10" i="23"/>
  <c r="W12" i="23"/>
  <c r="P11" i="23"/>
  <c r="U15" i="23"/>
  <c r="AJ6" i="23"/>
  <c r="R6" i="23"/>
  <c r="Q16" i="23"/>
  <c r="V14" i="23"/>
  <c r="T10" i="23"/>
  <c r="AB14" i="23"/>
  <c r="J12" i="23"/>
  <c r="X14" i="23"/>
  <c r="AB4" i="23"/>
  <c r="Z5" i="23"/>
  <c r="Z6" i="23"/>
  <c r="X16" i="23"/>
  <c r="AD6" i="23"/>
  <c r="I20" i="23"/>
  <c r="V16" i="23"/>
  <c r="AC19" i="23"/>
  <c r="AA8" i="23"/>
  <c r="H17" i="23"/>
  <c r="AD8" i="23"/>
  <c r="Y17" i="23"/>
  <c r="AG21" i="23"/>
  <c r="AC13" i="23"/>
  <c r="O19" i="23"/>
  <c r="Z19" i="23"/>
  <c r="AJ11" i="23"/>
  <c r="AF16" i="23"/>
  <c r="U16" i="23"/>
  <c r="X6" i="23"/>
  <c r="I17" i="23"/>
  <c r="AH8" i="23"/>
  <c r="P9" i="23"/>
  <c r="P12" i="23"/>
  <c r="U13" i="23"/>
  <c r="P5" i="23"/>
  <c r="N15" i="23"/>
  <c r="M20" i="23"/>
  <c r="AJ19" i="23"/>
  <c r="O15" i="23"/>
  <c r="T14" i="23"/>
  <c r="AB12" i="23"/>
  <c r="L18" i="23"/>
  <c r="AC10" i="23"/>
  <c r="I12" i="23"/>
  <c r="AA11" i="23"/>
  <c r="AH13" i="23"/>
  <c r="X13" i="23"/>
  <c r="AG17" i="23"/>
  <c r="AA4" i="23"/>
  <c r="I7" i="23"/>
  <c r="P6" i="23"/>
  <c r="AA16" i="23"/>
  <c r="O13" i="23"/>
  <c r="V8" i="23"/>
  <c r="AA12" i="23"/>
  <c r="H20" i="23"/>
  <c r="J20" i="23"/>
  <c r="AK16" i="23"/>
  <c r="W16" i="23"/>
  <c r="AB18" i="23"/>
  <c r="V21" i="23"/>
  <c r="M8" i="23"/>
  <c r="AE15" i="23"/>
  <c r="AI18" i="23"/>
  <c r="AA19" i="23"/>
  <c r="L5" i="23"/>
  <c r="L15" i="23"/>
  <c r="AH21" i="23"/>
  <c r="AJ14" i="23"/>
  <c r="N14" i="23"/>
  <c r="Q12" i="23"/>
  <c r="H19" i="23"/>
  <c r="L13" i="23"/>
  <c r="O20" i="23"/>
  <c r="Y21" i="23"/>
  <c r="AK21" i="23"/>
  <c r="T15" i="23"/>
  <c r="R15" i="23"/>
  <c r="M7" i="23"/>
  <c r="AG5" i="23"/>
  <c r="AC20" i="23"/>
  <c r="AD11" i="23"/>
  <c r="V5" i="23"/>
  <c r="AI7" i="23"/>
  <c r="AI21" i="23"/>
  <c r="J17" i="23"/>
  <c r="P18" i="23"/>
  <c r="U7" i="23"/>
  <c r="U5" i="23"/>
  <c r="Y20" i="23"/>
  <c r="L21" i="23"/>
  <c r="Z8" i="23"/>
  <c r="O16" i="23"/>
  <c r="O14" i="23"/>
  <c r="S11" i="23"/>
  <c r="L11" i="23"/>
  <c r="S20" i="23"/>
  <c r="Z12" i="23"/>
  <c r="R19" i="23"/>
  <c r="N18" i="23"/>
  <c r="AH4" i="23"/>
  <c r="Q5" i="23"/>
  <c r="Z17" i="23"/>
  <c r="Z11" i="23"/>
  <c r="T11" i="23"/>
  <c r="Z7" i="23"/>
  <c r="J5" i="23"/>
  <c r="V13" i="23"/>
  <c r="N10" i="23"/>
  <c r="S18" i="23"/>
  <c r="T9" i="23"/>
  <c r="AE7" i="23"/>
  <c r="Q21" i="23"/>
  <c r="Z14" i="23"/>
  <c r="AJ17" i="23"/>
  <c r="U17" i="23"/>
  <c r="K21" i="23"/>
  <c r="O6" i="23"/>
  <c r="AJ18" i="23"/>
  <c r="AK4" i="23"/>
  <c r="Q15" i="23"/>
  <c r="Y16" i="23"/>
  <c r="H6" i="23"/>
  <c r="K7" i="23"/>
  <c r="Y19" i="23"/>
  <c r="AK11" i="23"/>
  <c r="H5" i="23"/>
  <c r="V20" i="23"/>
  <c r="K11" i="23"/>
  <c r="S8" i="23"/>
  <c r="K10" i="23"/>
  <c r="S19" i="23"/>
  <c r="AB6" i="23"/>
  <c r="I9" i="23"/>
  <c r="AH19" i="23"/>
  <c r="AI6" i="23"/>
  <c r="AK13" i="23"/>
  <c r="T20" i="23"/>
  <c r="R11" i="23"/>
  <c r="T13" i="23"/>
  <c r="AB17" i="23"/>
  <c r="AH16" i="23"/>
  <c r="W9" i="23"/>
  <c r="R4" i="23"/>
  <c r="AF18" i="23"/>
  <c r="AG13" i="23"/>
  <c r="I21" i="23"/>
  <c r="R20" i="23"/>
  <c r="AJ8" i="23"/>
  <c r="O11" i="23"/>
  <c r="H13" i="23"/>
  <c r="U8" i="23"/>
  <c r="U12" i="23"/>
  <c r="O17" i="23"/>
  <c r="Y9" i="23"/>
  <c r="Y8" i="23"/>
  <c r="U11" i="23"/>
  <c r="AB5" i="23"/>
  <c r="I5" i="23"/>
  <c r="AA18" i="23"/>
  <c r="P21" i="23"/>
  <c r="R10" i="23"/>
  <c r="U14" i="23"/>
  <c r="T12" i="23"/>
  <c r="AG20" i="23"/>
  <c r="AG14" i="23"/>
  <c r="I16" i="23"/>
  <c r="M10" i="23"/>
  <c r="AH5" i="23"/>
  <c r="N5" i="23"/>
  <c r="V11" i="23"/>
  <c r="K17" i="23"/>
  <c r="I6" i="23"/>
  <c r="Q20" i="23"/>
  <c r="AK10" i="23"/>
  <c r="R9" i="23"/>
  <c r="Q11" i="23"/>
  <c r="AF10" i="23"/>
  <c r="AI9" i="23"/>
  <c r="H10" i="23"/>
  <c r="AE19" i="23"/>
  <c r="H7" i="23"/>
  <c r="S15" i="23"/>
  <c r="AH7" i="23"/>
  <c r="T4" i="23"/>
  <c r="AG6" i="23"/>
  <c r="T8" i="23"/>
  <c r="AB9" i="23"/>
  <c r="Y6" i="23"/>
  <c r="AE14" i="23"/>
  <c r="AC17" i="23"/>
  <c r="X11" i="23"/>
  <c r="S13" i="23"/>
  <c r="Q10" i="23"/>
  <c r="AE8" i="23"/>
  <c r="Q7" i="23"/>
  <c r="T16" i="23"/>
  <c r="L20" i="23"/>
  <c r="L19" i="23"/>
  <c r="AJ16" i="23"/>
  <c r="N11" i="23"/>
  <c r="AJ21" i="23"/>
  <c r="J4" i="23"/>
  <c r="AD21" i="23"/>
  <c r="AE10" i="23"/>
  <c r="Y18" i="23"/>
  <c r="AK7" i="23"/>
  <c r="AI16" i="23"/>
  <c r="X8" i="23"/>
  <c r="AC4" i="23"/>
  <c r="AH18" i="23"/>
  <c r="X21" i="23"/>
  <c r="S14" i="23"/>
  <c r="J10" i="23"/>
  <c r="V12" i="23"/>
  <c r="M18" i="23"/>
  <c r="AD17" i="23"/>
  <c r="K19" i="23"/>
  <c r="AD16" i="23"/>
  <c r="AJ15" i="23"/>
  <c r="AD15" i="23"/>
  <c r="W21" i="23"/>
  <c r="O5" i="23"/>
  <c r="U21" i="23"/>
  <c r="J8" i="23"/>
  <c r="Q14" i="23"/>
  <c r="K6" i="23"/>
  <c r="Q4" i="23"/>
  <c r="AG18" i="23"/>
  <c r="N9" i="23"/>
  <c r="R14" i="23"/>
  <c r="Z10" i="23"/>
  <c r="H15" i="23"/>
  <c r="W7" i="23"/>
  <c r="AG7" i="23"/>
  <c r="J11" i="23"/>
  <c r="AE12" i="23"/>
  <c r="AG9" i="23"/>
  <c r="W10" i="23"/>
  <c r="AD20" i="23"/>
  <c r="I10" i="23"/>
  <c r="Q6" i="23"/>
  <c r="AD10" i="23"/>
  <c r="AG4" i="23"/>
  <c r="H16" i="23"/>
  <c r="H11" i="23"/>
  <c r="AK8" i="23"/>
  <c r="J6" i="23"/>
  <c r="H12" i="23"/>
  <c r="K4" i="23"/>
  <c r="AG16" i="23"/>
  <c r="AK15" i="23"/>
  <c r="K20" i="23"/>
  <c r="AD19" i="23"/>
  <c r="W17" i="23"/>
  <c r="AG8" i="23"/>
  <c r="AC14" i="23"/>
  <c r="H4" i="23"/>
  <c r="AC11" i="23"/>
  <c r="O10" i="23"/>
  <c r="P14" i="23"/>
  <c r="AC6" i="23"/>
  <c r="Z18" i="23"/>
  <c r="AA13" i="23"/>
  <c r="S21" i="23"/>
  <c r="AC12" i="23"/>
  <c r="AC15" i="23"/>
  <c r="AH11" i="23"/>
  <c r="S6" i="23"/>
  <c r="AJ5" i="23"/>
  <c r="S16" i="23"/>
  <c r="N16" i="23"/>
  <c r="N8" i="23"/>
  <c r="P7" i="23"/>
  <c r="AK18" i="23"/>
  <c r="AI12" i="23"/>
  <c r="T6" i="23"/>
  <c r="Y10" i="23"/>
  <c r="R5" i="23"/>
  <c r="T17" i="23"/>
  <c r="R21" i="23"/>
  <c r="I11" i="23"/>
  <c r="Y12" i="23"/>
  <c r="Z21" i="23"/>
  <c r="Z16" i="23"/>
  <c r="AE4" i="23"/>
  <c r="N13" i="23"/>
  <c r="AH6" i="23"/>
  <c r="V6" i="23"/>
  <c r="AE9" i="23"/>
  <c r="P15" i="23"/>
  <c r="AI14" i="23"/>
  <c r="L10" i="23"/>
  <c r="S9" i="23"/>
  <c r="T21" i="23"/>
  <c r="AH12" i="23"/>
  <c r="AE21" i="23"/>
  <c r="O8" i="23"/>
  <c r="H23" i="23" l="1"/>
  <c r="H25" i="23"/>
  <c r="K23" i="23"/>
  <c r="K25" i="23"/>
  <c r="Q23" i="23"/>
  <c r="Q25" i="23"/>
  <c r="M22" i="23"/>
  <c r="M24" i="23"/>
  <c r="J23" i="23"/>
  <c r="J25" i="23"/>
  <c r="N25" i="23"/>
  <c r="N23" i="23"/>
  <c r="N22" i="23"/>
  <c r="N24" i="23"/>
  <c r="P22" i="23"/>
  <c r="P24" i="23"/>
  <c r="J22" i="23"/>
  <c r="J24" i="23"/>
  <c r="L22" i="23"/>
  <c r="L24" i="23"/>
  <c r="P23" i="23"/>
  <c r="P25" i="23"/>
  <c r="Q22" i="23"/>
  <c r="Q24" i="23"/>
  <c r="L23" i="23"/>
  <c r="L25" i="23"/>
  <c r="I22" i="23"/>
  <c r="I24" i="23"/>
  <c r="H22" i="23"/>
  <c r="H24" i="23"/>
  <c r="O23" i="23"/>
  <c r="O25" i="23"/>
  <c r="I23" i="23"/>
  <c r="I25" i="23"/>
  <c r="O22" i="23"/>
  <c r="O24" i="23"/>
  <c r="M23" i="23"/>
  <c r="M25" i="23"/>
  <c r="K24" i="23"/>
  <c r="K22" i="23"/>
  <c r="AE23" i="23"/>
  <c r="AE25" i="23"/>
  <c r="AK24" i="23"/>
  <c r="AJ23" i="23"/>
  <c r="AJ25" i="23"/>
  <c r="Z24" i="23"/>
  <c r="AG25" i="23"/>
  <c r="AG23" i="23"/>
  <c r="AG24" i="23"/>
  <c r="AH24" i="23"/>
  <c r="AC25" i="23"/>
  <c r="AC23" i="23"/>
  <c r="Y24" i="23"/>
  <c r="AC24" i="23"/>
  <c r="Y25" i="23"/>
  <c r="Y23" i="23"/>
  <c r="T23" i="23"/>
  <c r="T25" i="23"/>
  <c r="AA24" i="23"/>
  <c r="AF24" i="23"/>
  <c r="AK25" i="23"/>
  <c r="AK23" i="23"/>
  <c r="AJ24" i="23"/>
  <c r="S24" i="23"/>
  <c r="AH23" i="23"/>
  <c r="AH25" i="23"/>
  <c r="AI24" i="23"/>
  <c r="AB24" i="23"/>
  <c r="AA23" i="23"/>
  <c r="AA25" i="23"/>
  <c r="V24" i="23"/>
  <c r="Z23" i="23"/>
  <c r="Z25" i="23"/>
  <c r="AB23" i="23"/>
  <c r="AB25" i="23"/>
  <c r="X23" i="23"/>
  <c r="X25" i="23"/>
  <c r="T24" i="23"/>
  <c r="V25" i="23"/>
  <c r="V23" i="23"/>
  <c r="U25" i="23"/>
  <c r="U23" i="23"/>
  <c r="AI23" i="23"/>
  <c r="AI25" i="23"/>
  <c r="W24" i="23"/>
  <c r="X24" i="23"/>
  <c r="AE24" i="23"/>
  <c r="AF23" i="23"/>
  <c r="AF25" i="23"/>
  <c r="AD25" i="23"/>
  <c r="AD23" i="23"/>
  <c r="U24" i="23"/>
  <c r="AD24" i="23"/>
  <c r="W23" i="23"/>
  <c r="W25" i="23"/>
  <c r="S23" i="23"/>
  <c r="S25" i="23"/>
  <c r="AK22" i="23"/>
  <c r="Z22" i="23"/>
  <c r="AG22" i="23"/>
  <c r="AH22" i="23"/>
  <c r="Y22" i="23"/>
  <c r="AC22" i="23"/>
  <c r="AA22" i="23"/>
  <c r="AF22" i="23"/>
  <c r="AJ22" i="23"/>
  <c r="S22" i="23"/>
  <c r="AI22" i="23"/>
  <c r="AB22" i="23"/>
  <c r="V22" i="23"/>
  <c r="T22" i="23"/>
  <c r="W22" i="23"/>
  <c r="X22" i="23"/>
  <c r="AE22" i="23"/>
  <c r="U22" i="23"/>
  <c r="AD22" i="23"/>
  <c r="R25" i="23"/>
  <c r="R24" i="23"/>
  <c r="R23" i="23"/>
  <c r="R22" i="23"/>
</calcChain>
</file>

<file path=xl/sharedStrings.xml><?xml version="1.0" encoding="utf-8"?>
<sst xmlns="http://schemas.openxmlformats.org/spreadsheetml/2006/main" count="1535" uniqueCount="300">
  <si>
    <t>ID</t>
  </si>
  <si>
    <t>Tool</t>
  </si>
  <si>
    <t>Comment</t>
  </si>
  <si>
    <t>View</t>
  </si>
  <si>
    <t>P1</t>
  </si>
  <si>
    <t>P2</t>
  </si>
  <si>
    <t>P3</t>
  </si>
  <si>
    <t>P4</t>
  </si>
  <si>
    <t>P5</t>
  </si>
  <si>
    <t>Capella</t>
  </si>
  <si>
    <t>How do I get the GateID? I Know the logic … but … [The subject is trying to use Content-Assist to Look for the GateID but the list is so long which makes it hard for him to locate the intended element]</t>
  </si>
  <si>
    <t>Negative</t>
  </si>
  <si>
    <t>Ok, where is the gate ? … [keeps scrolling the Content-Assist]</t>
  </si>
  <si>
    <t>I'm not sure if it is equal equal [==] or … [referring to the conditional logic that the tool usesin the guard]</t>
  </si>
  <si>
    <t>Topic</t>
  </si>
  <si>
    <t>Context</t>
  </si>
  <si>
    <t>Syntax</t>
  </si>
  <si>
    <t>I don't know if there is an easier way to do this. I'm trying to set the NOT condition … so …</t>
  </si>
  <si>
    <t>I didn't face specific problem, that's good</t>
  </si>
  <si>
    <t>Positive</t>
  </si>
  <si>
    <t>Overall</t>
  </si>
  <si>
    <t>[on task 5] OK so it was very easy</t>
  </si>
  <si>
    <t>Reuse</t>
  </si>
  <si>
    <t>[on task 6] Yeah! That was pretty easy</t>
  </si>
  <si>
    <t xml:space="preserve">It's not a pretty layout </t>
  </si>
  <si>
    <t>Layout</t>
  </si>
  <si>
    <t>Where is transponder from sensor?</t>
  </si>
  <si>
    <t>I'm trying to mimic the behaviour of one of the gates [the subject tries to take the State-Machine of one of the gates and reuse it for Gate E]</t>
  </si>
  <si>
    <t>I'm trying to see if there is a way to list all the uses of this class</t>
  </si>
  <si>
    <t>Debugging</t>
  </si>
  <si>
    <t>O! it changed everything, no problem there</t>
  </si>
  <si>
    <t>[after the above comment he said:] I hope! O! Why is this not changed?!</t>
  </si>
  <si>
    <t>Confidence</t>
  </si>
  <si>
    <t>I'm trying to see if it shows me the possible errors or the dependencies</t>
  </si>
  <si>
    <t>Let's check if it's used anywhere</t>
  </si>
  <si>
    <t>Ok so in gate D we have one of the guards as exitGate.Id == GateID.D. Let's see if we delete what will happen? So, if we go to Gate D… O! that's not good …</t>
  </si>
  <si>
    <t>So it's removed, it's not telling me if there is an error</t>
  </si>
  <si>
    <t>Let me see if there is anywhere to show me the errors?</t>
  </si>
  <si>
    <t>Neutral</t>
  </si>
  <si>
    <t>OK I was trying set the guard to check if a car is at gate, but I can't find it [the Content-Assist has a long list which makes it difficult to the subject to locate the intended element]</t>
  </si>
  <si>
    <t>I don't want to go in all the diagrams and check them</t>
  </si>
  <si>
    <t>Recognition</t>
  </si>
  <si>
    <t>Association</t>
  </si>
  <si>
    <t>Action Planning</t>
  </si>
  <si>
    <t>Context, Association</t>
  </si>
  <si>
    <t>Confidence, Action Planning</t>
  </si>
  <si>
    <t>Confidence,Recognition</t>
  </si>
  <si>
    <t>Context, Association, Recognition</t>
  </si>
  <si>
    <t>Count-All</t>
  </si>
  <si>
    <t>*Recognition*</t>
  </si>
  <si>
    <t>*Intrusiveness*</t>
  </si>
  <si>
    <t>*Association*</t>
  </si>
  <si>
    <t>*Action Planning*</t>
  </si>
  <si>
    <t>*Context*</t>
  </si>
  <si>
    <t>Uhum, OK, it is telling me that where it will be deleted, OK …</t>
  </si>
  <si>
    <t>Recognition, Association</t>
  </si>
  <si>
    <t>Oh! It deleted the whole thing [transition]. Maybe that's not what we want to do…</t>
  </si>
  <si>
    <t>Action planning</t>
  </si>
  <si>
    <t>I'm not sure, there should be somewhere that it tells me all deleted items are here …</t>
  </si>
  <si>
    <t>Recognition, Association, Confidence</t>
  </si>
  <si>
    <t>*Confidence*</t>
  </si>
  <si>
    <t>So, it's telling me it is in gate B</t>
  </si>
  <si>
    <t>*Reuse*</t>
  </si>
  <si>
    <t>*Syntax*</t>
  </si>
  <si>
    <t>So there is no way of finding all impacted elements, that's not good</t>
  </si>
  <si>
    <t>Maybe it's [deleted element] not used anywhere</t>
  </si>
  <si>
    <t>Association, Context, Confidence</t>
  </si>
  <si>
    <t>I was trying to see if it is listed somewhere, but it is not telling me, so it is a huge problem [referring to type checking]</t>
  </si>
  <si>
    <t>This is by no means an effective efficient way that I have to go through all diagrams</t>
  </si>
  <si>
    <t>Again, doing all manual is not … [sighs]</t>
  </si>
  <si>
    <t>Again, trying to check impact analysis, it's not showing anything</t>
  </si>
  <si>
    <t>OK, it's not very smart</t>
  </si>
  <si>
    <t>I wasn't sure, So given more (larger) model I maybe look for everything … not confident</t>
  </si>
  <si>
    <t>Let me check the Gate B class</t>
  </si>
  <si>
    <t>it should be there [looking for gate id in the Content-Assist]</t>
  </si>
  <si>
    <t>OK, here is the class diagram , here is the sensor blocked … ok we need to use this</t>
  </si>
  <si>
    <t>Where is the sensor?</t>
  </si>
  <si>
    <t>Still not able to find gate blocked [from the Content-Assist]</t>
  </si>
  <si>
    <t>I could it very easy</t>
  </si>
  <si>
    <t>The suggestion box [Content-Assist] to filter item [refering to the long list of Content-Assist]</t>
  </si>
  <si>
    <t>Ok it will directly change …</t>
  </si>
  <si>
    <t>[Taks 1] It's easy , very easy, I changed in one place and it changed everywhere</t>
  </si>
  <si>
    <t>So, this should also be changed right?</t>
  </si>
  <si>
    <t>But is should be done automatically, I suppose.</t>
  </si>
  <si>
    <t>Whenever I delete anything you can show me where are the reference to this thing [element]</t>
  </si>
  <si>
    <t>Will it [change] affect the State diagram? O! it has already done it, it did! That's awesome!</t>
  </si>
  <si>
    <t>OK it's showing me!</t>
  </si>
  <si>
    <t>It's gone!!! [the whole transition]</t>
  </si>
  <si>
    <t>Ok, it is deleted, that's fine.</t>
  </si>
  <si>
    <t>Association, Context</t>
  </si>
  <si>
    <t>First I have to go to State (diagram), remove the effect and then I have to delete that method [from the Class diagram]. But it should give me a prompt message …</t>
  </si>
  <si>
    <t>Association, Action Planning</t>
  </si>
  <si>
    <t xml:space="preserve">Here blockage is zero, here blockage is one , here blockage is again zero, wow! </t>
  </si>
  <si>
    <t>Again here I'm trying to see if there is any transition that is affected ...</t>
  </si>
  <si>
    <t>Again, it's not saying if there is any problem, if there is any error</t>
  </si>
  <si>
    <t>It is very difficult, it is not showing me where it is referenced, I have to do it manually, this is a pain</t>
  </si>
  <si>
    <t>It should be better while changing the data types, it shows me the uses</t>
  </si>
  <si>
    <t>MagicDraw</t>
  </si>
  <si>
    <t>Very bad …</t>
  </si>
  <si>
    <t>This wasn't that hard but I had to fix so many things</t>
  </si>
  <si>
    <t xml:space="preserve">Of course I might left something </t>
  </si>
  <si>
    <t>Where is that? isGateBlocked?</t>
  </si>
  <si>
    <t>I think I saw it already [transponder]</t>
  </si>
  <si>
    <t>I need to create a similar diagram like …</t>
  </si>
  <si>
    <t>I need to create a new class for people with disability</t>
  </si>
  <si>
    <t>I need to create Association</t>
  </si>
  <si>
    <t>isRestStartTime? What was that?</t>
  </si>
  <si>
    <t>I want to copy!!!! So, I cannot?!</t>
  </si>
  <si>
    <t>where is it? [referring to the element]</t>
  </si>
  <si>
    <t>This is going to be annoying</t>
  </si>
  <si>
    <t>This was not easy</t>
  </si>
  <si>
    <t>You cannot copy paste? That's stupid!</t>
  </si>
  <si>
    <t>[after trying to copy past] No! [sighs] I cannot copy paste!</t>
  </si>
  <si>
    <t xml:space="preserve">yeah I know the pain </t>
  </si>
  <si>
    <t>not easy</t>
  </si>
  <si>
    <t>it should highlight and I should not search for them</t>
  </si>
  <si>
    <t>Aaa! Ok, This is nice! But not too nice!!!</t>
  </si>
  <si>
    <t>I think I believe I am done!</t>
  </si>
  <si>
    <t>When I put dot it should show me what I have [referring to the Content-Assist feature]</t>
  </si>
  <si>
    <t>easy</t>
  </si>
  <si>
    <t>So, it won't automatically suggest the change [from boolean to integer]?</t>
  </si>
  <si>
    <t>Now that I know I am being tested for the usability of the tool, I pay more attention to it and I wonder why it [the interface design] is like this. I feel no one asked for users' opinion when designing it.</t>
  </si>
  <si>
    <t>Satisfaction</t>
  </si>
  <si>
    <t>*Satisfaction*</t>
  </si>
  <si>
    <t>P6</t>
  </si>
  <si>
    <t>Papyrus</t>
  </si>
  <si>
    <t>it is good that I can reuse from the transitions</t>
  </si>
  <si>
    <t>too complex</t>
  </si>
  <si>
    <t>Ok, need to check the [Class] diagram</t>
  </si>
  <si>
    <t>was it double equal or … ?</t>
  </si>
  <si>
    <t>robust tool though</t>
  </si>
  <si>
    <t>let's check if it is changed [name changes]</t>
  </si>
  <si>
    <t>Huh! Common! Why?! [the user could not set the action on Tran7]</t>
  </si>
  <si>
    <t>didn't change [surprised]?</t>
  </si>
  <si>
    <t>kidding me?</t>
  </si>
  <si>
    <t>Good keyword coloring</t>
  </si>
  <si>
    <t>Syntax, Satisfaction</t>
  </si>
  <si>
    <t>It shows the errors with icon …</t>
  </si>
  <si>
    <t>it was pretty straight forward</t>
  </si>
  <si>
    <t>What was the attribute for this one?</t>
  </si>
  <si>
    <t>What is this Plus (+)</t>
  </si>
  <si>
    <t>FORMLDesigner</t>
  </si>
  <si>
    <t>OK cool</t>
  </si>
  <si>
    <t>You have to really click on like [the edge], that will be a pain …</t>
  </si>
  <si>
    <t>It's only counter-inituitive [refers to the # sign for the integers in the grammar], because everything you just drag and drop and is straight forward, but this one…</t>
  </si>
  <si>
    <t>P7</t>
  </si>
  <si>
    <t>I had to learn something but it was very easy like super easy</t>
  </si>
  <si>
    <t>what was the name of … Yeah, here it is!</t>
  </si>
  <si>
    <t>Cool! Done!</t>
  </si>
  <si>
    <t>I didn't notice if there were other guards …</t>
  </si>
  <si>
    <t>If there were common errors, you could select them and apply once [on task 5]</t>
  </si>
  <si>
    <t>OK, it must have fixed everywhere</t>
  </si>
  <si>
    <t>It was very easy</t>
  </si>
  <si>
    <t>The tool helps</t>
  </si>
  <si>
    <t>but again , it was two of the same thing</t>
  </si>
  <si>
    <t>Action Planning, Scalability</t>
  </si>
  <si>
    <t>It could be confusing if someone doesn't know the grammar</t>
  </si>
  <si>
    <t>pretty easy</t>
  </si>
  <si>
    <t>Honestly, it was only for the necessary parts, it wasn't disturbing</t>
  </si>
  <si>
    <t>Definitely it was worth it [intrusiveness versus quality]</t>
  </si>
  <si>
    <t>Intrusiveness</t>
  </si>
  <si>
    <t>Code</t>
  </si>
  <si>
    <t>Codes (Context)</t>
  </si>
  <si>
    <t>*Scalability*</t>
  </si>
  <si>
    <t>Codes (Debugging)</t>
  </si>
  <si>
    <t>P8</t>
  </si>
  <si>
    <t>[the researcher needed to remind the subject about how to use the tool]</t>
  </si>
  <si>
    <t>[Subject is struggling with understanding the grammar of the language because of the # sign]</t>
  </si>
  <si>
    <t>Um! Good!</t>
  </si>
  <si>
    <t>Should I do this or just drag?</t>
  </si>
  <si>
    <t>O! That's a good thing!</t>
  </si>
  <si>
    <t>So it was completely automatic</t>
  </si>
  <si>
    <t>So it automatically inserted the # sign</t>
  </si>
  <si>
    <t>Satisfaction, Syntax</t>
  </si>
  <si>
    <t>[The subject needed to be reminded of how to use the editor]</t>
  </si>
  <si>
    <t>P9</t>
  </si>
  <si>
    <t>Visual Paradigm</t>
  </si>
  <si>
    <t>Yeah! The auto-completion or something [would be good][subject says that while trying to push ctrl+space]</t>
  </si>
  <si>
    <t>I want to see something here [GateB] to get some idea here</t>
  </si>
  <si>
    <t>Reuse, Context</t>
  </si>
  <si>
    <t>I'm just trying to remember the class for surface lot</t>
  </si>
  <si>
    <t>It is highlighted</t>
  </si>
  <si>
    <t>O! it was a lot of them!</t>
  </si>
  <si>
    <t>It only shows the direct attribute, right?</t>
  </si>
  <si>
    <t>But it automatically started to add A1 [action label]</t>
  </si>
  <si>
    <t>Good</t>
  </si>
  <si>
    <t>It was not that hard</t>
  </si>
  <si>
    <t>That was super easy</t>
  </si>
  <si>
    <t>Yeah , it was easy to use</t>
  </si>
  <si>
    <t>I dodn't have problem with remembering the stuff</t>
  </si>
  <si>
    <t>P10</t>
  </si>
  <si>
    <t>It was confusing</t>
  </si>
  <si>
    <t>I still want to check!</t>
  </si>
  <si>
    <t>It was easy!</t>
  </si>
  <si>
    <t>It's not showing me</t>
  </si>
  <si>
    <t>They were very easy</t>
  </si>
  <si>
    <t>That's good</t>
  </si>
  <si>
    <t>This one is annoying</t>
  </si>
  <si>
    <t>It was pretty easy</t>
  </si>
  <si>
    <t>That's very easy</t>
  </si>
  <si>
    <t>They're definitely above my expectation</t>
  </si>
  <si>
    <t>Not difficult, but time-consuming, I could do something like search and replace</t>
  </si>
  <si>
    <t>I'm confidence in some of them, but not all of them at all. Because I don't know if your tool properly works or not. I don't have trust in tools.</t>
  </si>
  <si>
    <t>P11</t>
  </si>
  <si>
    <t>P13</t>
  </si>
  <si>
    <t>I am thinking about finding the time</t>
  </si>
  <si>
    <t>It's nice!</t>
  </si>
  <si>
    <t>Is it done?</t>
  </si>
  <si>
    <t>Good!</t>
  </si>
  <si>
    <t>P14</t>
  </si>
  <si>
    <t>Very nice</t>
  </si>
  <si>
    <t>Wow! Look at that! Very cool!</t>
  </si>
  <si>
    <t>That was good actually I liked that!</t>
  </si>
  <si>
    <t>I still had to check</t>
  </si>
  <si>
    <t>Ok perfect</t>
  </si>
  <si>
    <t>It could auto-pull things down</t>
  </si>
  <si>
    <t>Like conditional finding and replaces</t>
  </si>
  <si>
    <t>Cool!</t>
  </si>
  <si>
    <t>What is this … [#]</t>
  </si>
  <si>
    <t>Again I could probably use it everywhere</t>
  </si>
  <si>
    <t>I might, I believe … I never trust in automatic</t>
  </si>
  <si>
    <t>I do not feel that I was disrupted by the tool</t>
  </si>
  <si>
    <t>Subject</t>
  </si>
  <si>
    <t>Sheet Name</t>
  </si>
  <si>
    <t>id</t>
  </si>
  <si>
    <t>Even though this one shows the relevant elements here, I am more familiar with looking at the Class diagram and seeing the relations there</t>
  </si>
  <si>
    <t>FORMLDesinger</t>
  </si>
  <si>
    <t>I like the concept that you do dragging and dropping, I can see how it can help</t>
  </si>
  <si>
    <t>I think once you get used to it, it gets faster</t>
  </si>
  <si>
    <t>I think we should remove it [refering to the # in the grammar]</t>
  </si>
  <si>
    <t>If there was a better way for that shifting</t>
  </si>
  <si>
    <t>It's really good. Some of the concepts are new…</t>
  </si>
  <si>
    <t>P15</t>
  </si>
  <si>
    <t>I wish I could just delete it insead of editing</t>
  </si>
  <si>
    <t>Easy</t>
  </si>
  <si>
    <t>I wish there was a [auto apply]</t>
  </si>
  <si>
    <t>this one is fast here , editing here</t>
  </si>
  <si>
    <t>Satisfaction, Action Planning</t>
  </si>
  <si>
    <t>This was easy</t>
  </si>
  <si>
    <t>I wish if there was a big model …</t>
  </si>
  <si>
    <t>P12</t>
  </si>
  <si>
    <t>OK… good</t>
  </si>
  <si>
    <t>Oh! Shift Enter !</t>
  </si>
  <si>
    <t>Apply all  or maybe copy and paste</t>
  </si>
  <si>
    <t>Scalability</t>
  </si>
  <si>
    <t>Cool</t>
  </si>
  <si>
    <t>that's cool</t>
  </si>
  <si>
    <t>I'm not sure about other relationships</t>
  </si>
  <si>
    <t>O! Perfect!</t>
  </si>
  <si>
    <t>Why you have to do that</t>
  </si>
  <si>
    <t>Context, Satisfaction</t>
  </si>
  <si>
    <t>I like that feature [ referring to Content-Assist]</t>
  </si>
  <si>
    <t>Context Study</t>
  </si>
  <si>
    <t>Debugging Study</t>
  </si>
  <si>
    <t>P16</t>
  </si>
  <si>
    <t>That's a big problem. I expected the tool to show me the name.</t>
  </si>
  <si>
    <t>Just give me a second. I need to look at Class diagram</t>
  </si>
  <si>
    <t>It was quite good.</t>
  </si>
  <si>
    <t>I'm so happy how it worked.</t>
  </si>
  <si>
    <t>I'm not sure what kind of boolean expression it accepts. I hope it warns me. But, there is no help.</t>
  </si>
  <si>
    <t>P17</t>
  </si>
  <si>
    <t>P18</t>
  </si>
  <si>
    <t>I started the experiment with something which was not bothering , but when it is repeated it becomes a problem.</t>
  </si>
  <si>
    <t>To be honest I don't know if I can put equal not or just not</t>
  </si>
  <si>
    <t>I feel I am more busy with remembering the elements than modelling itself.</t>
  </si>
  <si>
    <t>O yeah! There is here! [using Content-Assist]</t>
  </si>
  <si>
    <t>it's good [referring to reuse feature]</t>
  </si>
  <si>
    <t>find the class …</t>
  </si>
  <si>
    <t>At least it will show errors related to syntax.</t>
  </si>
  <si>
    <t>I hope I got them [the errors], but how can I be sure if no auto-checking is done by the tool.</t>
  </si>
  <si>
    <t>I'm not going to check every class, I expect the tool find and fix it for me</t>
  </si>
  <si>
    <t>I need to check every single diagram in the code [he meant model!]</t>
  </si>
  <si>
    <t>Honestly, I'm not sure.</t>
  </si>
  <si>
    <t>That is one of the problems. Visually it should have highlighted here</t>
  </si>
  <si>
    <t>I do agree that it is nice the tool tells me everything</t>
  </si>
  <si>
    <t>It didn't direct me to the location of the error</t>
  </si>
  <si>
    <t>I cannot trust this machine anymore, so , I need to check</t>
  </si>
  <si>
    <t>There is problem with the tool obviously</t>
  </si>
  <si>
    <t>It doesn't show anything on the visual parts of the state machine</t>
  </si>
  <si>
    <t>Recognition, Satisfaction</t>
  </si>
  <si>
    <t>I assume, I don't know …</t>
  </si>
  <si>
    <t>OK , cool</t>
  </si>
  <si>
    <t>What was the element name?</t>
  </si>
  <si>
    <t>Let me check the Class diagram</t>
  </si>
  <si>
    <t>I can't copy?</t>
  </si>
  <si>
    <t>Was it equal or [thinking about the syntax]</t>
  </si>
  <si>
    <t>Just hop the text is correct</t>
  </si>
  <si>
    <t>Oh too may diagrams</t>
  </si>
  <si>
    <t>assuming that I fixed all of them</t>
  </si>
  <si>
    <t>I prefer to write in the label</t>
  </si>
  <si>
    <t>Ok it seems I can reuse the elements</t>
  </si>
  <si>
    <t>Could be better designed</t>
  </si>
  <si>
    <t>Should I check in all the diagrams?</t>
  </si>
  <si>
    <t>O! Fixing one by one?</t>
  </si>
  <si>
    <t>I guess I have covered all of them</t>
  </si>
  <si>
    <t>Total No. of Comments on Our Tool</t>
  </si>
  <si>
    <t>Total No. of Comments on Other Tools</t>
  </si>
  <si>
    <t>No. of Subject Commented on Our Tool</t>
  </si>
  <si>
    <t>No. of Subject Commented on Other Tools</t>
  </si>
  <si>
    <t>OK good that we have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</si>
</sst>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9C6500"/>
      <name val="Calibri"/>
      <family val="2"/>
      <scheme val="minor"/>
    </font>
    <font>
      <b/>
      <i/>
      <sz val="11"/>
      <color rgb="FF9C6500"/>
      <name val="Calibri"/>
      <family val="2"/>
      <scheme val="minor"/>
    </font>
    <font>
      <b/>
      <i/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0" fillId="6" borderId="0" applyNumberFormat="0" applyBorder="0" applyAlignment="0" applyProtection="0"/>
  </cellStyleXfs>
  <cellXfs count="77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5" fillId="2" borderId="0" xfId="1" applyFont="1" applyAlignment="1">
      <alignment vertical="center" wrapText="1"/>
    </xf>
    <xf numFmtId="0" fontId="5" fillId="5" borderId="0" xfId="1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wrapText="1"/>
    </xf>
    <xf numFmtId="0" fontId="1" fillId="0" borderId="0" xfId="0" applyFont="1"/>
    <xf numFmtId="0" fontId="1" fillId="0" borderId="0" xfId="0" applyFont="1" applyAlignment="1">
      <alignment vertical="center" wrapText="1"/>
    </xf>
    <xf numFmtId="0" fontId="0" fillId="0" borderId="0" xfId="0" applyFont="1" applyAlignment="1">
      <alignment vertical="center" wrapText="1"/>
    </xf>
    <xf numFmtId="0" fontId="9" fillId="2" borderId="0" xfId="1" applyFont="1" applyAlignment="1">
      <alignment vertical="center" wrapText="1"/>
    </xf>
    <xf numFmtId="0" fontId="0" fillId="0" borderId="0" xfId="0" applyAlignment="1">
      <alignment horizontal="center" vertical="center"/>
    </xf>
    <xf numFmtId="0" fontId="8" fillId="3" borderId="0" xfId="2" applyFont="1"/>
    <xf numFmtId="0" fontId="8" fillId="3" borderId="0" xfId="2" applyFont="1" applyAlignment="1">
      <alignment horizontal="center" vertical="center"/>
    </xf>
    <xf numFmtId="0" fontId="0" fillId="0" borderId="0" xfId="0" quotePrefix="1"/>
    <xf numFmtId="0" fontId="0" fillId="0" borderId="0" xfId="0" applyAlignment="1"/>
    <xf numFmtId="0" fontId="12" fillId="0" borderId="5" xfId="0" applyFont="1" applyBorder="1"/>
    <xf numFmtId="0" fontId="13" fillId="6" borderId="7" xfId="4" applyFont="1" applyBorder="1"/>
    <xf numFmtId="0" fontId="10" fillId="6" borderId="6" xfId="4" applyBorder="1"/>
    <xf numFmtId="0" fontId="13" fillId="6" borderId="9" xfId="4" applyFont="1" applyBorder="1"/>
    <xf numFmtId="0" fontId="10" fillId="6" borderId="8" xfId="4" applyBorder="1"/>
    <xf numFmtId="0" fontId="14" fillId="6" borderId="7" xfId="4" applyFont="1" applyBorder="1"/>
    <xf numFmtId="0" fontId="11" fillId="6" borderId="6" xfId="4" applyFont="1" applyBorder="1"/>
    <xf numFmtId="0" fontId="15" fillId="3" borderId="5" xfId="2" applyFont="1" applyBorder="1"/>
    <xf numFmtId="0" fontId="14" fillId="6" borderId="14" xfId="4" applyFont="1" applyBorder="1"/>
    <xf numFmtId="0" fontId="13" fillId="6" borderId="15" xfId="4" applyFont="1" applyBorder="1"/>
    <xf numFmtId="0" fontId="11" fillId="6" borderId="16" xfId="4" applyFont="1" applyBorder="1"/>
    <xf numFmtId="0" fontId="10" fillId="6" borderId="17" xfId="4" applyBorder="1"/>
    <xf numFmtId="0" fontId="11" fillId="6" borderId="18" xfId="4" applyFont="1" applyBorder="1"/>
    <xf numFmtId="0" fontId="11" fillId="6" borderId="19" xfId="4" applyFont="1" applyBorder="1"/>
    <xf numFmtId="0" fontId="10" fillId="6" borderId="20" xfId="4" applyBorder="1"/>
    <xf numFmtId="0" fontId="10" fillId="6" borderId="19" xfId="4" applyBorder="1"/>
    <xf numFmtId="0" fontId="10" fillId="6" borderId="21" xfId="4" applyBorder="1"/>
    <xf numFmtId="0" fontId="15" fillId="3" borderId="14" xfId="2" applyFont="1" applyBorder="1"/>
    <xf numFmtId="0" fontId="15" fillId="3" borderId="15" xfId="2" applyFont="1" applyBorder="1"/>
    <xf numFmtId="0" fontId="8" fillId="3" borderId="16" xfId="2" applyFont="1" applyBorder="1"/>
    <xf numFmtId="0" fontId="8" fillId="3" borderId="17" xfId="2" applyFont="1" applyBorder="1"/>
    <xf numFmtId="0" fontId="8" fillId="3" borderId="18" xfId="2" applyFont="1" applyBorder="1"/>
    <xf numFmtId="0" fontId="8" fillId="3" borderId="21" xfId="2" applyFont="1" applyBorder="1"/>
    <xf numFmtId="0" fontId="15" fillId="3" borderId="7" xfId="2" applyFont="1" applyBorder="1"/>
    <xf numFmtId="0" fontId="8" fillId="3" borderId="6" xfId="2" applyFont="1" applyBorder="1"/>
    <xf numFmtId="0" fontId="8" fillId="3" borderId="19" xfId="2" applyFont="1" applyBorder="1"/>
    <xf numFmtId="0" fontId="15" fillId="3" borderId="9" xfId="2" applyFont="1" applyBorder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8" fillId="3" borderId="24" xfId="2" applyFont="1" applyBorder="1"/>
    <xf numFmtId="0" fontId="8" fillId="3" borderId="25" xfId="2" applyFont="1" applyBorder="1"/>
    <xf numFmtId="0" fontId="8" fillId="3" borderId="26" xfId="2" applyFont="1" applyBorder="1"/>
    <xf numFmtId="0" fontId="3" fillId="3" borderId="8" xfId="2" applyFont="1" applyBorder="1"/>
    <xf numFmtId="0" fontId="3" fillId="3" borderId="6" xfId="2" applyFont="1" applyBorder="1"/>
    <xf numFmtId="0" fontId="3" fillId="3" borderId="17" xfId="2" applyFont="1" applyBorder="1"/>
    <xf numFmtId="0" fontId="3" fillId="3" borderId="0" xfId="2" applyFont="1" applyBorder="1"/>
    <xf numFmtId="0" fontId="3" fillId="3" borderId="20" xfId="2" applyFont="1" applyBorder="1"/>
    <xf numFmtId="0" fontId="3" fillId="3" borderId="19" xfId="2" applyFont="1" applyBorder="1"/>
    <xf numFmtId="0" fontId="3" fillId="3" borderId="23" xfId="2" applyFont="1" applyBorder="1"/>
    <xf numFmtId="0" fontId="3" fillId="3" borderId="21" xfId="2" applyFont="1" applyBorder="1"/>
    <xf numFmtId="0" fontId="8" fillId="3" borderId="10" xfId="2" applyFont="1" applyBorder="1" applyAlignment="1">
      <alignment horizontal="center"/>
    </xf>
    <xf numFmtId="0" fontId="8" fillId="3" borderId="11" xfId="2" applyFont="1" applyBorder="1" applyAlignment="1">
      <alignment horizontal="center"/>
    </xf>
    <xf numFmtId="0" fontId="8" fillId="3" borderId="12" xfId="2" applyFont="1" applyBorder="1" applyAlignment="1">
      <alignment horizontal="center"/>
    </xf>
    <xf numFmtId="0" fontId="8" fillId="3" borderId="22" xfId="2" applyFont="1" applyBorder="1" applyAlignment="1">
      <alignment horizontal="center"/>
    </xf>
    <xf numFmtId="0" fontId="8" fillId="3" borderId="13" xfId="2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1" fillId="6" borderId="12" xfId="4" applyFont="1" applyBorder="1" applyAlignment="1">
      <alignment horizontal="center"/>
    </xf>
    <xf numFmtId="0" fontId="11" fillId="6" borderId="13" xfId="4" applyFont="1" applyBorder="1" applyAlignment="1">
      <alignment horizontal="center"/>
    </xf>
    <xf numFmtId="0" fontId="11" fillId="6" borderId="11" xfId="4" applyFont="1" applyBorder="1" applyAlignment="1">
      <alignment horizontal="center"/>
    </xf>
    <xf numFmtId="0" fontId="11" fillId="6" borderId="10" xfId="4" applyFont="1" applyBorder="1" applyAlignment="1">
      <alignment horizontal="center"/>
    </xf>
    <xf numFmtId="0" fontId="7" fillId="4" borderId="2" xfId="3" applyFont="1" applyBorder="1" applyAlignment="1">
      <alignment horizontal="center" vertical="center" wrapText="1"/>
    </xf>
    <xf numFmtId="0" fontId="7" fillId="4" borderId="3" xfId="3" applyFont="1" applyBorder="1" applyAlignment="1">
      <alignment horizontal="center" vertical="center" wrapText="1"/>
    </xf>
    <xf numFmtId="0" fontId="7" fillId="4" borderId="4" xfId="3" applyFont="1" applyBorder="1" applyAlignment="1">
      <alignment horizontal="center" vertical="center" wrapText="1"/>
    </xf>
    <xf numFmtId="0" fontId="7" fillId="4" borderId="1" xfId="3" applyFont="1" applyAlignment="1">
      <alignment horizontal="center" vertical="center" wrapText="1"/>
    </xf>
    <xf numFmtId="0" fontId="11" fillId="6" borderId="28" xfId="4" applyFont="1" applyBorder="1" applyAlignment="1">
      <alignment horizontal="center"/>
    </xf>
    <xf numFmtId="0" fontId="11" fillId="6" borderId="29" xfId="4" applyFont="1" applyBorder="1" applyAlignment="1">
      <alignment horizontal="center"/>
    </xf>
    <xf numFmtId="0" fontId="8" fillId="3" borderId="27" xfId="2" applyFont="1" applyBorder="1" applyAlignment="1">
      <alignment horizontal="center"/>
    </xf>
    <xf numFmtId="0" fontId="8" fillId="3" borderId="28" xfId="2" applyFont="1" applyBorder="1" applyAlignment="1">
      <alignment horizontal="center"/>
    </xf>
    <xf numFmtId="0" fontId="8" fillId="3" borderId="29" xfId="2" applyFont="1" applyBorder="1" applyAlignment="1">
      <alignment horizontal="center"/>
    </xf>
    <xf numFmtId="0" fontId="11" fillId="6" borderId="27" xfId="4" applyFont="1" applyBorder="1" applyAlignment="1">
      <alignment horizontal="center"/>
    </xf>
  </cellXfs>
  <cellStyles count="5">
    <cellStyle name="Bad" xfId="2" builtinId="27"/>
    <cellStyle name="Good" xfId="1" builtinId="26"/>
    <cellStyle name="Input" xfId="3" builtinId="20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27</xdr:row>
          <xdr:rowOff>9525</xdr:rowOff>
        </xdr:from>
        <xdr:to>
          <xdr:col>1</xdr:col>
          <xdr:colOff>1133475</xdr:colOff>
          <xdr:row>29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316"/>
  <sheetViews>
    <sheetView tabSelected="1" topLeftCell="D1" zoomScale="85" zoomScaleNormal="85" workbookViewId="0">
      <selection activeCell="Q30" sqref="Q30"/>
    </sheetView>
  </sheetViews>
  <sheetFormatPr defaultRowHeight="15" x14ac:dyDescent="0.25"/>
  <cols>
    <col min="1" max="1" width="17" style="11" hidden="1" customWidth="1"/>
    <col min="2" max="2" width="17.5703125" style="11" hidden="1" customWidth="1"/>
    <col min="3" max="3" width="12" hidden="1" customWidth="1"/>
    <col min="4" max="4" width="3.140625" bestFit="1" customWidth="1"/>
    <col min="5" max="5" width="11.85546875" bestFit="1" customWidth="1"/>
    <col min="6" max="6" width="14.28515625" customWidth="1"/>
    <col min="7" max="7" width="42" bestFit="1" customWidth="1"/>
    <col min="9" max="9" width="10.42578125" customWidth="1"/>
    <col min="11" max="11" width="10.42578125" customWidth="1"/>
    <col min="13" max="13" width="10.42578125" customWidth="1"/>
    <col min="15" max="15" width="10.42578125" customWidth="1"/>
    <col min="17" max="17" width="10.42578125" customWidth="1"/>
    <col min="19" max="19" width="10.85546875" customWidth="1"/>
  </cols>
  <sheetData>
    <row r="1" spans="1:37" ht="15.75" thickBot="1" x14ac:dyDescent="0.3">
      <c r="A1" s="45"/>
      <c r="B1" s="45"/>
      <c r="H1" s="76" t="s">
        <v>252</v>
      </c>
      <c r="I1" s="71"/>
      <c r="J1" s="71"/>
      <c r="K1" s="71"/>
      <c r="L1" s="71"/>
      <c r="M1" s="71"/>
      <c r="N1" s="71"/>
      <c r="O1" s="71"/>
      <c r="P1" s="71"/>
      <c r="Q1" s="72"/>
      <c r="R1" s="73" t="s">
        <v>253</v>
      </c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</row>
    <row r="2" spans="1:37" x14ac:dyDescent="0.25">
      <c r="A2" s="43" t="s">
        <v>162</v>
      </c>
      <c r="B2" s="43" t="s">
        <v>164</v>
      </c>
      <c r="C2" s="1"/>
      <c r="D2" s="15"/>
      <c r="E2" s="15"/>
      <c r="F2" s="15"/>
      <c r="G2" s="15"/>
      <c r="H2" s="66" t="s">
        <v>20</v>
      </c>
      <c r="I2" s="65"/>
      <c r="J2" s="63" t="str">
        <f>A3</f>
        <v>*Context*</v>
      </c>
      <c r="K2" s="65"/>
      <c r="L2" s="63" t="str">
        <f>A4</f>
        <v>*Reuse*</v>
      </c>
      <c r="M2" s="65"/>
      <c r="N2" s="63" t="str">
        <f>A5</f>
        <v>*Satisfaction*</v>
      </c>
      <c r="O2" s="65"/>
      <c r="P2" s="63" t="str">
        <f>A6</f>
        <v>*Syntax*</v>
      </c>
      <c r="Q2" s="64"/>
      <c r="R2" s="57" t="s">
        <v>20</v>
      </c>
      <c r="S2" s="58"/>
      <c r="T2" s="59" t="str">
        <f>B3</f>
        <v>*Context*</v>
      </c>
      <c r="U2" s="58"/>
      <c r="V2" s="59" t="str">
        <f>B5</f>
        <v>*Satisfaction*</v>
      </c>
      <c r="W2" s="58"/>
      <c r="X2" s="59" t="str">
        <f>B6</f>
        <v>*Syntax*</v>
      </c>
      <c r="Y2" s="58"/>
      <c r="Z2" s="59" t="str">
        <f>B7</f>
        <v>*Recognition*</v>
      </c>
      <c r="AA2" s="58"/>
      <c r="AB2" s="59" t="str">
        <f>B8</f>
        <v>*Intrusiveness*</v>
      </c>
      <c r="AC2" s="58"/>
      <c r="AD2" s="59" t="str">
        <f>B9</f>
        <v>*Association*</v>
      </c>
      <c r="AE2" s="58"/>
      <c r="AF2" s="59" t="str">
        <f>B10</f>
        <v>*Action Planning*</v>
      </c>
      <c r="AG2" s="58"/>
      <c r="AH2" s="59" t="str">
        <f>B11</f>
        <v>*Confidence*</v>
      </c>
      <c r="AI2" s="58"/>
      <c r="AJ2" s="60" t="str">
        <f>B12</f>
        <v>*Scalability*</v>
      </c>
      <c r="AK2" s="61"/>
    </row>
    <row r="3" spans="1:37" x14ac:dyDescent="0.25">
      <c r="A3" s="11" t="s">
        <v>53</v>
      </c>
      <c r="B3" s="11" t="s">
        <v>53</v>
      </c>
      <c r="D3" s="16" t="s">
        <v>224</v>
      </c>
      <c r="E3" s="16" t="s">
        <v>223</v>
      </c>
      <c r="F3" s="16" t="s">
        <v>222</v>
      </c>
      <c r="G3" s="16" t="s">
        <v>1</v>
      </c>
      <c r="H3" s="24" t="s">
        <v>11</v>
      </c>
      <c r="I3" s="21" t="s">
        <v>19</v>
      </c>
      <c r="J3" s="19" t="s">
        <v>11</v>
      </c>
      <c r="K3" s="17" t="s">
        <v>19</v>
      </c>
      <c r="L3" s="19" t="s">
        <v>11</v>
      </c>
      <c r="M3" s="17" t="s">
        <v>19</v>
      </c>
      <c r="N3" s="19" t="s">
        <v>11</v>
      </c>
      <c r="O3" s="17" t="s">
        <v>19</v>
      </c>
      <c r="P3" s="19" t="s">
        <v>11</v>
      </c>
      <c r="Q3" s="25" t="s">
        <v>19</v>
      </c>
      <c r="R3" s="33" t="s">
        <v>11</v>
      </c>
      <c r="S3" s="39" t="s">
        <v>19</v>
      </c>
      <c r="T3" s="42" t="s">
        <v>11</v>
      </c>
      <c r="U3" s="39" t="s">
        <v>19</v>
      </c>
      <c r="V3" s="42" t="s">
        <v>11</v>
      </c>
      <c r="W3" s="39" t="s">
        <v>19</v>
      </c>
      <c r="X3" s="42" t="s">
        <v>11</v>
      </c>
      <c r="Y3" s="39" t="s">
        <v>19</v>
      </c>
      <c r="Z3" s="42" t="s">
        <v>11</v>
      </c>
      <c r="AA3" s="39" t="s">
        <v>19</v>
      </c>
      <c r="AB3" s="42" t="s">
        <v>11</v>
      </c>
      <c r="AC3" s="39" t="s">
        <v>19</v>
      </c>
      <c r="AD3" s="42" t="s">
        <v>11</v>
      </c>
      <c r="AE3" s="39" t="s">
        <v>19</v>
      </c>
      <c r="AF3" s="42" t="s">
        <v>11</v>
      </c>
      <c r="AG3" s="39" t="s">
        <v>19</v>
      </c>
      <c r="AH3" s="42" t="s">
        <v>11</v>
      </c>
      <c r="AI3" s="39" t="s">
        <v>19</v>
      </c>
      <c r="AJ3" s="23" t="s">
        <v>11</v>
      </c>
      <c r="AK3" s="34" t="s">
        <v>19</v>
      </c>
    </row>
    <row r="4" spans="1:37" x14ac:dyDescent="0.25">
      <c r="A4" s="11" t="s">
        <v>62</v>
      </c>
      <c r="B4" s="11" t="s">
        <v>62</v>
      </c>
      <c r="D4">
        <v>1</v>
      </c>
      <c r="E4" s="14" t="str">
        <f>"P ("&amp;D4&amp;")"</f>
        <v>P (1)</v>
      </c>
      <c r="F4" t="str">
        <f ca="1">INDIRECT("'"&amp;$E4&amp;"'"&amp;"!B1")</f>
        <v>P1</v>
      </c>
      <c r="G4" t="str">
        <f ca="1">INDIRECT("'"&amp;$E4&amp;"'"&amp;"!B2")</f>
        <v>Capella</v>
      </c>
      <c r="H4" s="26">
        <f t="shared" ref="H4:H21" ca="1" si="0">SUM(INDIRECT("'"&amp;$E4&amp;"'"&amp;"!G2:G5"))</f>
        <v>7</v>
      </c>
      <c r="I4" s="22">
        <f t="shared" ref="I4:I21" ca="1" si="1">SUM(INDIRECT("'"&amp;$E4&amp;"'"&amp;"!H2:H5"))</f>
        <v>1</v>
      </c>
      <c r="J4" s="20">
        <f t="shared" ref="J4:J21" ca="1" si="2">SUM(INDIRECT("'"&amp;$E4&amp;"'"&amp;"!G2"))</f>
        <v>4</v>
      </c>
      <c r="K4" s="18">
        <f t="shared" ref="K4:K21" ca="1" si="3">SUM(INDIRECT("'"&amp;$E4&amp;"'"&amp;"!H2"))</f>
        <v>0</v>
      </c>
      <c r="L4" s="20">
        <f t="shared" ref="L4:L21" ca="1" si="4">SUM(INDIRECT("'"&amp;$E4&amp;"'"&amp;"!G3"))</f>
        <v>1</v>
      </c>
      <c r="M4" s="18">
        <f t="shared" ref="M4:M21" ca="1" si="5">SUM(INDIRECT("'"&amp;$E4&amp;"'"&amp;"!H3"))</f>
        <v>1</v>
      </c>
      <c r="N4" s="20">
        <f t="shared" ref="N4:N21" ca="1" si="6">SUM(INDIRECT("'"&amp;$E4&amp;"'"&amp;"!G4"))</f>
        <v>0</v>
      </c>
      <c r="O4" s="18">
        <f t="shared" ref="O4:O21" ca="1" si="7">SUM(INDIRECT("'"&amp;$E4&amp;"'"&amp;"!H4"))</f>
        <v>0</v>
      </c>
      <c r="P4" s="20">
        <f t="shared" ref="P4:P21" ca="1" si="8">SUM(INDIRECT("'"&amp;$E4&amp;"'"&amp;"!G5"))</f>
        <v>2</v>
      </c>
      <c r="Q4" s="27">
        <f t="shared" ref="Q4:Q21" ca="1" si="9">SUM(INDIRECT("'"&amp;$E4&amp;"'"&amp;"!H5"))</f>
        <v>0</v>
      </c>
      <c r="R4" s="35">
        <f ca="1">SUM(INDIRECT("'"&amp;$E4&amp;"'"&amp;"!G20:G29"))</f>
        <v>31</v>
      </c>
      <c r="S4" s="40">
        <f ca="1">SUM(INDIRECT("'"&amp;$E4&amp;"'"&amp;"!H20:H29"))</f>
        <v>5</v>
      </c>
      <c r="T4" s="49">
        <f ca="1">SUM(INDIRECT("'"&amp;$E4&amp;"'"&amp;"!G20"))</f>
        <v>4</v>
      </c>
      <c r="U4" s="50">
        <f ca="1">SUM(INDIRECT("'"&amp;$E4&amp;"'"&amp;"!H20"))</f>
        <v>0</v>
      </c>
      <c r="V4" s="49">
        <f ca="1">SUM(INDIRECT("'"&amp;$E4&amp;"'"&amp;"!G22"))</f>
        <v>0</v>
      </c>
      <c r="W4" s="50">
        <f ca="1">SUM(INDIRECT("'"&amp;$E4&amp;"'"&amp;"!H22"))</f>
        <v>0</v>
      </c>
      <c r="X4" s="49">
        <f ca="1">SUM(INDIRECT("'"&amp;$E4&amp;"'"&amp;"!G23"))</f>
        <v>0</v>
      </c>
      <c r="Y4" s="50">
        <f ca="1">SUM(INDIRECT("'"&amp;$E4&amp;"'"&amp;"!H23"))</f>
        <v>0</v>
      </c>
      <c r="Z4" s="49">
        <f ca="1">SUM(INDIRECT("'"&amp;$E4&amp;"'"&amp;"!G24"))</f>
        <v>6</v>
      </c>
      <c r="AA4" s="50">
        <f ca="1">SUM(INDIRECT("'"&amp;$E4&amp;"'"&amp;"!H24"))</f>
        <v>1</v>
      </c>
      <c r="AB4" s="49">
        <f ca="1">SUM(INDIRECT("'"&amp;$E4&amp;"'"&amp;"!G25"))</f>
        <v>0</v>
      </c>
      <c r="AC4" s="50">
        <f ca="1">SUM(INDIRECT("'"&amp;$E4&amp;"'"&amp;"!H25"))</f>
        <v>0</v>
      </c>
      <c r="AD4" s="49">
        <f ca="1">SUM(INDIRECT("'"&amp;$E4&amp;"'"&amp;"!G26"))</f>
        <v>11</v>
      </c>
      <c r="AE4" s="50">
        <f ca="1">SUM(INDIRECT("'"&amp;$E4&amp;"'"&amp;"!H26"))</f>
        <v>2</v>
      </c>
      <c r="AF4" s="49">
        <f ca="1">SUM(INDIRECT("'"&amp;$E4&amp;"'"&amp;"!G27"))</f>
        <v>4</v>
      </c>
      <c r="AG4" s="50">
        <f ca="1">SUM(INDIRECT("'"&amp;$E4&amp;"'"&amp;"!H27"))</f>
        <v>1</v>
      </c>
      <c r="AH4" s="49">
        <f ca="1">SUM(INDIRECT("'"&amp;$E4&amp;"'"&amp;"!G28"))</f>
        <v>6</v>
      </c>
      <c r="AI4" s="50">
        <f ca="1">SUM(INDIRECT("'"&amp;$E4&amp;"'"&amp;"!H28"))</f>
        <v>1</v>
      </c>
      <c r="AJ4" s="49">
        <f ca="1">SUM(INDIRECT("'"&amp;$E4&amp;"'"&amp;"!G29"))</f>
        <v>0</v>
      </c>
      <c r="AK4" s="51">
        <f ca="1">SUM(INDIRECT("'"&amp;$E4&amp;"'"&amp;"!H29"))</f>
        <v>0</v>
      </c>
    </row>
    <row r="5" spans="1:37" x14ac:dyDescent="0.25">
      <c r="A5" s="11" t="s">
        <v>123</v>
      </c>
      <c r="B5" s="11" t="s">
        <v>123</v>
      </c>
      <c r="D5">
        <v>2</v>
      </c>
      <c r="E5" s="14" t="str">
        <f t="shared" ref="E5:E21" si="10">"P ("&amp;D5&amp;")"</f>
        <v>P (2)</v>
      </c>
      <c r="F5" t="str">
        <f t="shared" ref="F5:F21" ca="1" si="11">INDIRECT("'"&amp;$E5&amp;"'"&amp;"!B1")</f>
        <v>P2</v>
      </c>
      <c r="G5" t="str">
        <f t="shared" ref="G5:G21" ca="1" si="12">INDIRECT("'"&amp;$E5&amp;"'"&amp;"!B2")</f>
        <v>Capella</v>
      </c>
      <c r="H5" s="26">
        <f t="shared" ca="1" si="0"/>
        <v>4</v>
      </c>
      <c r="I5" s="22">
        <f t="shared" ca="1" si="1"/>
        <v>1</v>
      </c>
      <c r="J5" s="20">
        <f t="shared" ca="1" si="2"/>
        <v>4</v>
      </c>
      <c r="K5" s="18">
        <f t="shared" ca="1" si="3"/>
        <v>0</v>
      </c>
      <c r="L5" s="20">
        <f t="shared" ca="1" si="4"/>
        <v>0</v>
      </c>
      <c r="M5" s="18">
        <f t="shared" ca="1" si="5"/>
        <v>1</v>
      </c>
      <c r="N5" s="20">
        <f t="shared" ca="1" si="6"/>
        <v>0</v>
      </c>
      <c r="O5" s="18">
        <f t="shared" ca="1" si="7"/>
        <v>0</v>
      </c>
      <c r="P5" s="20">
        <f t="shared" ca="1" si="8"/>
        <v>0</v>
      </c>
      <c r="Q5" s="27">
        <f t="shared" ca="1" si="9"/>
        <v>0</v>
      </c>
      <c r="R5" s="35">
        <f t="shared" ref="R5:R21" ca="1" si="13">SUM(INDIRECT("'"&amp;$E5&amp;"'"&amp;"!G20:G29"))</f>
        <v>9</v>
      </c>
      <c r="S5" s="40">
        <f t="shared" ref="S5:S21" ca="1" si="14">SUM(INDIRECT("'"&amp;$E5&amp;"'"&amp;"!H20:H29"))</f>
        <v>6</v>
      </c>
      <c r="T5" s="49">
        <f t="shared" ref="T5:T21" ca="1" si="15">SUM(INDIRECT("'"&amp;$E5&amp;"'"&amp;"!G20"))</f>
        <v>0</v>
      </c>
      <c r="U5" s="50">
        <f t="shared" ref="U5:U21" ca="1" si="16">SUM(INDIRECT("'"&amp;$E5&amp;"'"&amp;"!H20"))</f>
        <v>1</v>
      </c>
      <c r="V5" s="49">
        <f t="shared" ref="V5:V21" ca="1" si="17">SUM(INDIRECT("'"&amp;$E5&amp;"'"&amp;"!G22"))</f>
        <v>0</v>
      </c>
      <c r="W5" s="50">
        <f t="shared" ref="W5:W21" ca="1" si="18">SUM(INDIRECT("'"&amp;$E5&amp;"'"&amp;"!H22"))</f>
        <v>0</v>
      </c>
      <c r="X5" s="49">
        <f t="shared" ref="X5:X21" ca="1" si="19">SUM(INDIRECT("'"&amp;$E5&amp;"'"&amp;"!G23"))</f>
        <v>0</v>
      </c>
      <c r="Y5" s="50">
        <f t="shared" ref="Y5:Y21" ca="1" si="20">SUM(INDIRECT("'"&amp;$E5&amp;"'"&amp;"!H23"))</f>
        <v>0</v>
      </c>
      <c r="Z5" s="49">
        <f t="shared" ref="Z5:Z21" ca="1" si="21">SUM(INDIRECT("'"&amp;$E5&amp;"'"&amp;"!G24"))</f>
        <v>1</v>
      </c>
      <c r="AA5" s="50">
        <f t="shared" ref="AA5:AA21" ca="1" si="22">SUM(INDIRECT("'"&amp;$E5&amp;"'"&amp;"!H24"))</f>
        <v>0</v>
      </c>
      <c r="AB5" s="49">
        <f t="shared" ref="AB5:AB21" ca="1" si="23">SUM(INDIRECT("'"&amp;$E5&amp;"'"&amp;"!G25"))</f>
        <v>0</v>
      </c>
      <c r="AC5" s="50">
        <f t="shared" ref="AC5:AC21" ca="1" si="24">SUM(INDIRECT("'"&amp;$E5&amp;"'"&amp;"!H25"))</f>
        <v>0</v>
      </c>
      <c r="AD5" s="49">
        <f t="shared" ref="AD5:AD21" ca="1" si="25">SUM(INDIRECT("'"&amp;$E5&amp;"'"&amp;"!G26"))</f>
        <v>3</v>
      </c>
      <c r="AE5" s="50">
        <f t="shared" ref="AE5:AE21" ca="1" si="26">SUM(INDIRECT("'"&amp;$E5&amp;"'"&amp;"!H26"))</f>
        <v>2</v>
      </c>
      <c r="AF5" s="49">
        <f t="shared" ref="AF5:AF21" ca="1" si="27">SUM(INDIRECT("'"&amp;$E5&amp;"'"&amp;"!G27"))</f>
        <v>4</v>
      </c>
      <c r="AG5" s="50">
        <f t="shared" ref="AG5:AG21" ca="1" si="28">SUM(INDIRECT("'"&amp;$E5&amp;"'"&amp;"!H27"))</f>
        <v>3</v>
      </c>
      <c r="AH5" s="49">
        <f t="shared" ref="AH5:AH21" ca="1" si="29">SUM(INDIRECT("'"&amp;$E5&amp;"'"&amp;"!G28"))</f>
        <v>1</v>
      </c>
      <c r="AI5" s="50">
        <f t="shared" ref="AI5:AI21" ca="1" si="30">SUM(INDIRECT("'"&amp;$E5&amp;"'"&amp;"!H28"))</f>
        <v>0</v>
      </c>
      <c r="AJ5" s="52">
        <f t="shared" ref="AJ5:AJ21" ca="1" si="31">SUM(INDIRECT("'"&amp;$E5&amp;"'"&amp;"!G29"))</f>
        <v>0</v>
      </c>
      <c r="AK5" s="51">
        <f t="shared" ref="AK5:AK21" ca="1" si="32">SUM(INDIRECT("'"&amp;$E5&amp;"'"&amp;"!H29"))</f>
        <v>0</v>
      </c>
    </row>
    <row r="6" spans="1:37" x14ac:dyDescent="0.25">
      <c r="A6" s="11" t="s">
        <v>63</v>
      </c>
      <c r="B6" s="11" t="s">
        <v>63</v>
      </c>
      <c r="D6">
        <v>3</v>
      </c>
      <c r="E6" s="14" t="str">
        <f t="shared" si="10"/>
        <v>P (3)</v>
      </c>
      <c r="F6" t="str">
        <f t="shared" ca="1" si="11"/>
        <v>P3</v>
      </c>
      <c r="G6" t="str">
        <f t="shared" ca="1" si="12"/>
        <v>MagicDraw</v>
      </c>
      <c r="H6" s="26">
        <f t="shared" ca="1" si="0"/>
        <v>2</v>
      </c>
      <c r="I6" s="22">
        <f t="shared" ca="1" si="1"/>
        <v>0</v>
      </c>
      <c r="J6" s="20">
        <f t="shared" ca="1" si="2"/>
        <v>2</v>
      </c>
      <c r="K6" s="18">
        <f t="shared" ca="1" si="3"/>
        <v>0</v>
      </c>
      <c r="L6" s="20">
        <f t="shared" ca="1" si="4"/>
        <v>0</v>
      </c>
      <c r="M6" s="18">
        <f t="shared" ca="1" si="5"/>
        <v>0</v>
      </c>
      <c r="N6" s="20">
        <f t="shared" ca="1" si="6"/>
        <v>0</v>
      </c>
      <c r="O6" s="18">
        <f t="shared" ca="1" si="7"/>
        <v>0</v>
      </c>
      <c r="P6" s="20">
        <f t="shared" ca="1" si="8"/>
        <v>0</v>
      </c>
      <c r="Q6" s="27">
        <f t="shared" ca="1" si="9"/>
        <v>0</v>
      </c>
      <c r="R6" s="35">
        <f t="shared" ca="1" si="13"/>
        <v>3</v>
      </c>
      <c r="S6" s="40">
        <f t="shared" ca="1" si="14"/>
        <v>0</v>
      </c>
      <c r="T6" s="49">
        <f t="shared" ca="1" si="15"/>
        <v>0</v>
      </c>
      <c r="U6" s="50">
        <f t="shared" ca="1" si="16"/>
        <v>0</v>
      </c>
      <c r="V6" s="49">
        <f t="shared" ca="1" si="17"/>
        <v>0</v>
      </c>
      <c r="W6" s="50">
        <f t="shared" ca="1" si="18"/>
        <v>0</v>
      </c>
      <c r="X6" s="49">
        <f t="shared" ca="1" si="19"/>
        <v>0</v>
      </c>
      <c r="Y6" s="50">
        <f t="shared" ca="1" si="20"/>
        <v>0</v>
      </c>
      <c r="Z6" s="49">
        <f t="shared" ca="1" si="21"/>
        <v>0</v>
      </c>
      <c r="AA6" s="50">
        <f t="shared" ca="1" si="22"/>
        <v>0</v>
      </c>
      <c r="AB6" s="49">
        <f t="shared" ca="1" si="23"/>
        <v>0</v>
      </c>
      <c r="AC6" s="50">
        <f t="shared" ca="1" si="24"/>
        <v>0</v>
      </c>
      <c r="AD6" s="49">
        <f t="shared" ca="1" si="25"/>
        <v>0</v>
      </c>
      <c r="AE6" s="50">
        <f t="shared" ca="1" si="26"/>
        <v>0</v>
      </c>
      <c r="AF6" s="49">
        <f t="shared" ca="1" si="27"/>
        <v>2</v>
      </c>
      <c r="AG6" s="50">
        <f t="shared" ca="1" si="28"/>
        <v>0</v>
      </c>
      <c r="AH6" s="49">
        <f t="shared" ca="1" si="29"/>
        <v>1</v>
      </c>
      <c r="AI6" s="50">
        <f t="shared" ca="1" si="30"/>
        <v>0</v>
      </c>
      <c r="AJ6" s="52">
        <f t="shared" ca="1" si="31"/>
        <v>0</v>
      </c>
      <c r="AK6" s="51">
        <f t="shared" ca="1" si="32"/>
        <v>0</v>
      </c>
    </row>
    <row r="7" spans="1:37" x14ac:dyDescent="0.25">
      <c r="B7" s="11" t="s">
        <v>49</v>
      </c>
      <c r="D7">
        <v>4</v>
      </c>
      <c r="E7" s="14" t="str">
        <f t="shared" si="10"/>
        <v>P (4)</v>
      </c>
      <c r="F7" t="str">
        <f t="shared" ca="1" si="11"/>
        <v>P4</v>
      </c>
      <c r="G7" t="str">
        <f t="shared" ca="1" si="12"/>
        <v>MagicDraw</v>
      </c>
      <c r="H7" s="26">
        <f t="shared" ca="1" si="0"/>
        <v>7</v>
      </c>
      <c r="I7" s="22">
        <f t="shared" ca="1" si="1"/>
        <v>0</v>
      </c>
      <c r="J7" s="20">
        <f t="shared" ca="1" si="2"/>
        <v>2</v>
      </c>
      <c r="K7" s="18">
        <f t="shared" ca="1" si="3"/>
        <v>0</v>
      </c>
      <c r="L7" s="20">
        <f t="shared" ca="1" si="4"/>
        <v>5</v>
      </c>
      <c r="M7" s="18">
        <f t="shared" ca="1" si="5"/>
        <v>0</v>
      </c>
      <c r="N7" s="20">
        <f t="shared" ca="1" si="6"/>
        <v>0</v>
      </c>
      <c r="O7" s="18">
        <f t="shared" ca="1" si="7"/>
        <v>0</v>
      </c>
      <c r="P7" s="20">
        <f t="shared" ca="1" si="8"/>
        <v>0</v>
      </c>
      <c r="Q7" s="27">
        <f t="shared" ca="1" si="9"/>
        <v>0</v>
      </c>
      <c r="R7" s="35">
        <f t="shared" ca="1" si="13"/>
        <v>5</v>
      </c>
      <c r="S7" s="40">
        <f t="shared" ca="1" si="14"/>
        <v>0</v>
      </c>
      <c r="T7" s="49">
        <f t="shared" ca="1" si="15"/>
        <v>1</v>
      </c>
      <c r="U7" s="50">
        <f t="shared" ca="1" si="16"/>
        <v>0</v>
      </c>
      <c r="V7" s="49">
        <f t="shared" ca="1" si="17"/>
        <v>1</v>
      </c>
      <c r="W7" s="50">
        <f t="shared" ca="1" si="18"/>
        <v>0</v>
      </c>
      <c r="X7" s="49">
        <f t="shared" ca="1" si="19"/>
        <v>0</v>
      </c>
      <c r="Y7" s="50">
        <f t="shared" ca="1" si="20"/>
        <v>0</v>
      </c>
      <c r="Z7" s="49">
        <f t="shared" ca="1" si="21"/>
        <v>0</v>
      </c>
      <c r="AA7" s="50">
        <f t="shared" ca="1" si="22"/>
        <v>0</v>
      </c>
      <c r="AB7" s="49">
        <f t="shared" ca="1" si="23"/>
        <v>0</v>
      </c>
      <c r="AC7" s="50">
        <f t="shared" ca="1" si="24"/>
        <v>0</v>
      </c>
      <c r="AD7" s="49">
        <f t="shared" ca="1" si="25"/>
        <v>1</v>
      </c>
      <c r="AE7" s="50">
        <f t="shared" ca="1" si="26"/>
        <v>0</v>
      </c>
      <c r="AF7" s="49">
        <f t="shared" ca="1" si="27"/>
        <v>1</v>
      </c>
      <c r="AG7" s="50">
        <f t="shared" ca="1" si="28"/>
        <v>0</v>
      </c>
      <c r="AH7" s="49">
        <f t="shared" ca="1" si="29"/>
        <v>1</v>
      </c>
      <c r="AI7" s="50">
        <f t="shared" ca="1" si="30"/>
        <v>0</v>
      </c>
      <c r="AJ7" s="52">
        <f t="shared" ca="1" si="31"/>
        <v>0</v>
      </c>
      <c r="AK7" s="51">
        <f t="shared" ca="1" si="32"/>
        <v>0</v>
      </c>
    </row>
    <row r="8" spans="1:37" x14ac:dyDescent="0.25">
      <c r="B8" s="11" t="s">
        <v>50</v>
      </c>
      <c r="D8">
        <v>5</v>
      </c>
      <c r="E8" s="14" t="str">
        <f t="shared" si="10"/>
        <v>P (5)</v>
      </c>
      <c r="F8" t="str">
        <f t="shared" ca="1" si="11"/>
        <v>P5</v>
      </c>
      <c r="G8" t="str">
        <f t="shared" ca="1" si="12"/>
        <v>FORMLDesigner</v>
      </c>
      <c r="H8" s="26">
        <f t="shared" ca="1" si="0"/>
        <v>0</v>
      </c>
      <c r="I8" s="22">
        <f t="shared" ca="1" si="1"/>
        <v>1</v>
      </c>
      <c r="J8" s="20">
        <f t="shared" ca="1" si="2"/>
        <v>0</v>
      </c>
      <c r="K8" s="18">
        <f t="shared" ca="1" si="3"/>
        <v>0</v>
      </c>
      <c r="L8" s="20">
        <f t="shared" ca="1" si="4"/>
        <v>0</v>
      </c>
      <c r="M8" s="18">
        <f t="shared" ca="1" si="5"/>
        <v>1</v>
      </c>
      <c r="N8" s="20">
        <f t="shared" ca="1" si="6"/>
        <v>0</v>
      </c>
      <c r="O8" s="18">
        <f t="shared" ca="1" si="7"/>
        <v>0</v>
      </c>
      <c r="P8" s="20">
        <f t="shared" ca="1" si="8"/>
        <v>0</v>
      </c>
      <c r="Q8" s="27">
        <f t="shared" ca="1" si="9"/>
        <v>0</v>
      </c>
      <c r="R8" s="35">
        <f t="shared" ca="1" si="13"/>
        <v>1</v>
      </c>
      <c r="S8" s="40">
        <f t="shared" ca="1" si="14"/>
        <v>0</v>
      </c>
      <c r="T8" s="49">
        <f t="shared" ca="1" si="15"/>
        <v>0</v>
      </c>
      <c r="U8" s="50">
        <f t="shared" ca="1" si="16"/>
        <v>0</v>
      </c>
      <c r="V8" s="49">
        <f t="shared" ca="1" si="17"/>
        <v>0</v>
      </c>
      <c r="W8" s="50">
        <f t="shared" ca="1" si="18"/>
        <v>0</v>
      </c>
      <c r="X8" s="49">
        <f t="shared" ca="1" si="19"/>
        <v>0</v>
      </c>
      <c r="Y8" s="50">
        <f t="shared" ca="1" si="20"/>
        <v>0</v>
      </c>
      <c r="Z8" s="49">
        <f t="shared" ca="1" si="21"/>
        <v>0</v>
      </c>
      <c r="AA8" s="50">
        <f t="shared" ca="1" si="22"/>
        <v>0</v>
      </c>
      <c r="AB8" s="49">
        <f t="shared" ca="1" si="23"/>
        <v>0</v>
      </c>
      <c r="AC8" s="50">
        <f t="shared" ca="1" si="24"/>
        <v>0</v>
      </c>
      <c r="AD8" s="49">
        <f t="shared" ca="1" si="25"/>
        <v>0</v>
      </c>
      <c r="AE8" s="50">
        <f t="shared" ca="1" si="26"/>
        <v>0</v>
      </c>
      <c r="AF8" s="49">
        <f t="shared" ca="1" si="27"/>
        <v>1</v>
      </c>
      <c r="AG8" s="50">
        <f t="shared" ca="1" si="28"/>
        <v>0</v>
      </c>
      <c r="AH8" s="49">
        <f t="shared" ca="1" si="29"/>
        <v>0</v>
      </c>
      <c r="AI8" s="50">
        <f t="shared" ca="1" si="30"/>
        <v>0</v>
      </c>
      <c r="AJ8" s="52">
        <f t="shared" ca="1" si="31"/>
        <v>0</v>
      </c>
      <c r="AK8" s="51">
        <f t="shared" ca="1" si="32"/>
        <v>0</v>
      </c>
    </row>
    <row r="9" spans="1:37" x14ac:dyDescent="0.25">
      <c r="B9" s="11" t="s">
        <v>51</v>
      </c>
      <c r="D9">
        <v>6</v>
      </c>
      <c r="E9" s="14" t="str">
        <f t="shared" si="10"/>
        <v>P (6)</v>
      </c>
      <c r="F9" t="str">
        <f t="shared" ca="1" si="11"/>
        <v>P6</v>
      </c>
      <c r="G9" t="str">
        <f t="shared" ca="1" si="12"/>
        <v>Papyrus</v>
      </c>
      <c r="H9" s="26">
        <f t="shared" ca="1" si="0"/>
        <v>5</v>
      </c>
      <c r="I9" s="22">
        <f t="shared" ca="1" si="1"/>
        <v>4</v>
      </c>
      <c r="J9" s="20">
        <f t="shared" ca="1" si="2"/>
        <v>1</v>
      </c>
      <c r="K9" s="18">
        <f t="shared" ca="1" si="3"/>
        <v>0</v>
      </c>
      <c r="L9" s="20">
        <f t="shared" ca="1" si="4"/>
        <v>0</v>
      </c>
      <c r="M9" s="18">
        <f t="shared" ca="1" si="5"/>
        <v>1</v>
      </c>
      <c r="N9" s="20">
        <f t="shared" ca="1" si="6"/>
        <v>3</v>
      </c>
      <c r="O9" s="18">
        <f t="shared" ca="1" si="7"/>
        <v>2</v>
      </c>
      <c r="P9" s="20">
        <f t="shared" ca="1" si="8"/>
        <v>1</v>
      </c>
      <c r="Q9" s="27">
        <f t="shared" ca="1" si="9"/>
        <v>1</v>
      </c>
      <c r="R9" s="35">
        <f t="shared" ca="1" si="13"/>
        <v>3</v>
      </c>
      <c r="S9" s="40">
        <f t="shared" ca="1" si="14"/>
        <v>1</v>
      </c>
      <c r="T9" s="49">
        <f t="shared" ca="1" si="15"/>
        <v>0</v>
      </c>
      <c r="U9" s="50">
        <f t="shared" ca="1" si="16"/>
        <v>0</v>
      </c>
      <c r="V9" s="49">
        <f t="shared" ca="1" si="17"/>
        <v>0</v>
      </c>
      <c r="W9" s="50">
        <f t="shared" ca="1" si="18"/>
        <v>0</v>
      </c>
      <c r="X9" s="49">
        <f t="shared" ca="1" si="19"/>
        <v>0</v>
      </c>
      <c r="Y9" s="50">
        <f t="shared" ca="1" si="20"/>
        <v>0</v>
      </c>
      <c r="Z9" s="49">
        <f t="shared" ca="1" si="21"/>
        <v>0</v>
      </c>
      <c r="AA9" s="50">
        <f t="shared" ca="1" si="22"/>
        <v>1</v>
      </c>
      <c r="AB9" s="49">
        <f t="shared" ca="1" si="23"/>
        <v>0</v>
      </c>
      <c r="AC9" s="50">
        <f t="shared" ca="1" si="24"/>
        <v>0</v>
      </c>
      <c r="AD9" s="49">
        <f t="shared" ca="1" si="25"/>
        <v>0</v>
      </c>
      <c r="AE9" s="50">
        <f t="shared" ca="1" si="26"/>
        <v>0</v>
      </c>
      <c r="AF9" s="49">
        <f t="shared" ca="1" si="27"/>
        <v>2</v>
      </c>
      <c r="AG9" s="50">
        <f t="shared" ca="1" si="28"/>
        <v>0</v>
      </c>
      <c r="AH9" s="49">
        <f t="shared" ca="1" si="29"/>
        <v>1</v>
      </c>
      <c r="AI9" s="50">
        <f t="shared" ca="1" si="30"/>
        <v>0</v>
      </c>
      <c r="AJ9" s="52">
        <f t="shared" ca="1" si="31"/>
        <v>0</v>
      </c>
      <c r="AK9" s="51">
        <f t="shared" ca="1" si="32"/>
        <v>0</v>
      </c>
    </row>
    <row r="10" spans="1:37" x14ac:dyDescent="0.25">
      <c r="B10" s="11" t="s">
        <v>52</v>
      </c>
      <c r="D10">
        <v>7</v>
      </c>
      <c r="E10" s="14" t="str">
        <f t="shared" si="10"/>
        <v>P (7)</v>
      </c>
      <c r="F10" t="str">
        <f t="shared" ca="1" si="11"/>
        <v>P7</v>
      </c>
      <c r="G10" t="str">
        <f t="shared" ca="1" si="12"/>
        <v>FORMLDesigner</v>
      </c>
      <c r="H10" s="26">
        <f t="shared" ca="1" si="0"/>
        <v>4</v>
      </c>
      <c r="I10" s="22">
        <f t="shared" ca="1" si="1"/>
        <v>5</v>
      </c>
      <c r="J10" s="20">
        <f t="shared" ca="1" si="2"/>
        <v>1</v>
      </c>
      <c r="K10" s="18">
        <f t="shared" ca="1" si="3"/>
        <v>1</v>
      </c>
      <c r="L10" s="20">
        <f t="shared" ca="1" si="4"/>
        <v>0</v>
      </c>
      <c r="M10" s="18">
        <f t="shared" ca="1" si="5"/>
        <v>1</v>
      </c>
      <c r="N10" s="20">
        <f t="shared" ca="1" si="6"/>
        <v>1</v>
      </c>
      <c r="O10" s="18">
        <f t="shared" ca="1" si="7"/>
        <v>3</v>
      </c>
      <c r="P10" s="20">
        <f t="shared" ca="1" si="8"/>
        <v>2</v>
      </c>
      <c r="Q10" s="27">
        <f t="shared" ca="1" si="9"/>
        <v>0</v>
      </c>
      <c r="R10" s="35">
        <f t="shared" ca="1" si="13"/>
        <v>5</v>
      </c>
      <c r="S10" s="40">
        <f t="shared" ca="1" si="14"/>
        <v>6</v>
      </c>
      <c r="T10" s="49">
        <f t="shared" ca="1" si="15"/>
        <v>1</v>
      </c>
      <c r="U10" s="50">
        <f t="shared" ca="1" si="16"/>
        <v>0</v>
      </c>
      <c r="V10" s="49">
        <f t="shared" ca="1" si="17"/>
        <v>0</v>
      </c>
      <c r="W10" s="50">
        <f t="shared" ca="1" si="18"/>
        <v>3</v>
      </c>
      <c r="X10" s="49">
        <f t="shared" ca="1" si="19"/>
        <v>1</v>
      </c>
      <c r="Y10" s="50">
        <f t="shared" ca="1" si="20"/>
        <v>0</v>
      </c>
      <c r="Z10" s="49">
        <f t="shared" ca="1" si="21"/>
        <v>0</v>
      </c>
      <c r="AA10" s="50">
        <f t="shared" ca="1" si="22"/>
        <v>0</v>
      </c>
      <c r="AB10" s="49">
        <f t="shared" ca="1" si="23"/>
        <v>0</v>
      </c>
      <c r="AC10" s="50">
        <f t="shared" ca="1" si="24"/>
        <v>2</v>
      </c>
      <c r="AD10" s="49">
        <f t="shared" ca="1" si="25"/>
        <v>0</v>
      </c>
      <c r="AE10" s="50">
        <f t="shared" ca="1" si="26"/>
        <v>0</v>
      </c>
      <c r="AF10" s="49">
        <f t="shared" ca="1" si="27"/>
        <v>1</v>
      </c>
      <c r="AG10" s="50">
        <f t="shared" ca="1" si="28"/>
        <v>1</v>
      </c>
      <c r="AH10" s="49">
        <f t="shared" ca="1" si="29"/>
        <v>0</v>
      </c>
      <c r="AI10" s="50">
        <f t="shared" ca="1" si="30"/>
        <v>0</v>
      </c>
      <c r="AJ10" s="52">
        <f t="shared" ca="1" si="31"/>
        <v>2</v>
      </c>
      <c r="AK10" s="51">
        <f t="shared" ca="1" si="32"/>
        <v>0</v>
      </c>
    </row>
    <row r="11" spans="1:37" x14ac:dyDescent="0.25">
      <c r="B11" s="11" t="s">
        <v>60</v>
      </c>
      <c r="D11">
        <v>8</v>
      </c>
      <c r="E11" s="14" t="str">
        <f t="shared" si="10"/>
        <v>P (8)</v>
      </c>
      <c r="F11" t="str">
        <f t="shared" ca="1" si="11"/>
        <v>P8</v>
      </c>
      <c r="G11" t="str">
        <f t="shared" ca="1" si="12"/>
        <v>FORMLDesigner</v>
      </c>
      <c r="H11" s="26">
        <f t="shared" ca="1" si="0"/>
        <v>3</v>
      </c>
      <c r="I11" s="22">
        <f t="shared" ca="1" si="1"/>
        <v>2</v>
      </c>
      <c r="J11" s="20">
        <f t="shared" ca="1" si="2"/>
        <v>0</v>
      </c>
      <c r="K11" s="18">
        <f t="shared" ca="1" si="3"/>
        <v>0</v>
      </c>
      <c r="L11" s="20">
        <f t="shared" ca="1" si="4"/>
        <v>0</v>
      </c>
      <c r="M11" s="18">
        <f t="shared" ca="1" si="5"/>
        <v>0</v>
      </c>
      <c r="N11" s="20">
        <f t="shared" ca="1" si="6"/>
        <v>2</v>
      </c>
      <c r="O11" s="18">
        <f t="shared" ca="1" si="7"/>
        <v>2</v>
      </c>
      <c r="P11" s="20">
        <f t="shared" ca="1" si="8"/>
        <v>1</v>
      </c>
      <c r="Q11" s="27">
        <f t="shared" ca="1" si="9"/>
        <v>0</v>
      </c>
      <c r="R11" s="35">
        <f t="shared" ca="1" si="13"/>
        <v>1</v>
      </c>
      <c r="S11" s="40">
        <f t="shared" ca="1" si="14"/>
        <v>3</v>
      </c>
      <c r="T11" s="49">
        <f t="shared" ca="1" si="15"/>
        <v>0</v>
      </c>
      <c r="U11" s="50">
        <f t="shared" ca="1" si="16"/>
        <v>0</v>
      </c>
      <c r="V11" s="49">
        <f t="shared" ca="1" si="17"/>
        <v>1</v>
      </c>
      <c r="W11" s="50">
        <f t="shared" ca="1" si="18"/>
        <v>1</v>
      </c>
      <c r="X11" s="49">
        <f t="shared" ca="1" si="19"/>
        <v>0</v>
      </c>
      <c r="Y11" s="50">
        <f t="shared" ca="1" si="20"/>
        <v>1</v>
      </c>
      <c r="Z11" s="49">
        <f t="shared" ca="1" si="21"/>
        <v>0</v>
      </c>
      <c r="AA11" s="50">
        <f t="shared" ca="1" si="22"/>
        <v>0</v>
      </c>
      <c r="AB11" s="49">
        <f t="shared" ca="1" si="23"/>
        <v>0</v>
      </c>
      <c r="AC11" s="50">
        <f t="shared" ca="1" si="24"/>
        <v>0</v>
      </c>
      <c r="AD11" s="49">
        <f t="shared" ca="1" si="25"/>
        <v>0</v>
      </c>
      <c r="AE11" s="50">
        <f t="shared" ca="1" si="26"/>
        <v>0</v>
      </c>
      <c r="AF11" s="49">
        <f t="shared" ca="1" si="27"/>
        <v>0</v>
      </c>
      <c r="AG11" s="50">
        <f t="shared" ca="1" si="28"/>
        <v>1</v>
      </c>
      <c r="AH11" s="49">
        <f t="shared" ca="1" si="29"/>
        <v>0</v>
      </c>
      <c r="AI11" s="50">
        <f t="shared" ca="1" si="30"/>
        <v>0</v>
      </c>
      <c r="AJ11" s="52">
        <f t="shared" ca="1" si="31"/>
        <v>0</v>
      </c>
      <c r="AK11" s="51">
        <f t="shared" ca="1" si="32"/>
        <v>0</v>
      </c>
    </row>
    <row r="12" spans="1:37" x14ac:dyDescent="0.25">
      <c r="B12" s="11" t="s">
        <v>163</v>
      </c>
      <c r="D12">
        <v>9</v>
      </c>
      <c r="E12" s="14" t="str">
        <f t="shared" si="10"/>
        <v>P (9)</v>
      </c>
      <c r="F12" t="str">
        <f t="shared" ca="1" si="11"/>
        <v>P9</v>
      </c>
      <c r="G12" t="str">
        <f t="shared" ca="1" si="12"/>
        <v>Visual Paradigm</v>
      </c>
      <c r="H12" s="26">
        <f t="shared" ca="1" si="0"/>
        <v>4</v>
      </c>
      <c r="I12" s="22">
        <f t="shared" ca="1" si="1"/>
        <v>0</v>
      </c>
      <c r="J12" s="20">
        <f t="shared" ca="1" si="2"/>
        <v>3</v>
      </c>
      <c r="K12" s="18">
        <f t="shared" ca="1" si="3"/>
        <v>0</v>
      </c>
      <c r="L12" s="20">
        <f t="shared" ca="1" si="4"/>
        <v>1</v>
      </c>
      <c r="M12" s="18">
        <f t="shared" ca="1" si="5"/>
        <v>0</v>
      </c>
      <c r="N12" s="20">
        <f t="shared" ca="1" si="6"/>
        <v>0</v>
      </c>
      <c r="O12" s="18">
        <f t="shared" ca="1" si="7"/>
        <v>0</v>
      </c>
      <c r="P12" s="20">
        <f t="shared" ca="1" si="8"/>
        <v>0</v>
      </c>
      <c r="Q12" s="27">
        <f t="shared" ca="1" si="9"/>
        <v>0</v>
      </c>
      <c r="R12" s="35">
        <f t="shared" ca="1" si="13"/>
        <v>1</v>
      </c>
      <c r="S12" s="40">
        <f t="shared" ca="1" si="14"/>
        <v>1</v>
      </c>
      <c r="T12" s="49">
        <f t="shared" ca="1" si="15"/>
        <v>0</v>
      </c>
      <c r="U12" s="50">
        <f t="shared" ca="1" si="16"/>
        <v>0</v>
      </c>
      <c r="V12" s="49">
        <f t="shared" ca="1" si="17"/>
        <v>0</v>
      </c>
      <c r="W12" s="50">
        <f t="shared" ca="1" si="18"/>
        <v>0</v>
      </c>
      <c r="X12" s="49">
        <f t="shared" ca="1" si="19"/>
        <v>0</v>
      </c>
      <c r="Y12" s="50">
        <f t="shared" ca="1" si="20"/>
        <v>0</v>
      </c>
      <c r="Z12" s="49">
        <f t="shared" ca="1" si="21"/>
        <v>0</v>
      </c>
      <c r="AA12" s="50">
        <f t="shared" ca="1" si="22"/>
        <v>1</v>
      </c>
      <c r="AB12" s="49">
        <f t="shared" ca="1" si="23"/>
        <v>0</v>
      </c>
      <c r="AC12" s="50">
        <f t="shared" ca="1" si="24"/>
        <v>0</v>
      </c>
      <c r="AD12" s="49">
        <f t="shared" ca="1" si="25"/>
        <v>0</v>
      </c>
      <c r="AE12" s="50">
        <f t="shared" ca="1" si="26"/>
        <v>0</v>
      </c>
      <c r="AF12" s="49">
        <f t="shared" ca="1" si="27"/>
        <v>0</v>
      </c>
      <c r="AG12" s="50">
        <f t="shared" ca="1" si="28"/>
        <v>0</v>
      </c>
      <c r="AH12" s="49">
        <f t="shared" ca="1" si="29"/>
        <v>0</v>
      </c>
      <c r="AI12" s="50">
        <f t="shared" ca="1" si="30"/>
        <v>0</v>
      </c>
      <c r="AJ12" s="52">
        <f t="shared" ca="1" si="31"/>
        <v>1</v>
      </c>
      <c r="AK12" s="51">
        <f t="shared" ca="1" si="32"/>
        <v>0</v>
      </c>
    </row>
    <row r="13" spans="1:37" x14ac:dyDescent="0.25">
      <c r="D13">
        <v>10</v>
      </c>
      <c r="E13" s="14" t="str">
        <f t="shared" si="10"/>
        <v>P (10)</v>
      </c>
      <c r="F13" t="str">
        <f t="shared" ca="1" si="11"/>
        <v>P10</v>
      </c>
      <c r="G13" t="str">
        <f t="shared" ca="1" si="12"/>
        <v>FORMLDesigner</v>
      </c>
      <c r="H13" s="26">
        <f t="shared" ca="1" si="0"/>
        <v>1</v>
      </c>
      <c r="I13" s="22">
        <f t="shared" ca="1" si="1"/>
        <v>4</v>
      </c>
      <c r="J13" s="20">
        <f t="shared" ca="1" si="2"/>
        <v>1</v>
      </c>
      <c r="K13" s="18">
        <f t="shared" ca="1" si="3"/>
        <v>1</v>
      </c>
      <c r="L13" s="20">
        <f t="shared" ca="1" si="4"/>
        <v>0</v>
      </c>
      <c r="M13" s="18">
        <f t="shared" ca="1" si="5"/>
        <v>0</v>
      </c>
      <c r="N13" s="20">
        <f t="shared" ca="1" si="6"/>
        <v>0</v>
      </c>
      <c r="O13" s="18">
        <f t="shared" ca="1" si="7"/>
        <v>2</v>
      </c>
      <c r="P13" s="20">
        <f t="shared" ca="1" si="8"/>
        <v>0</v>
      </c>
      <c r="Q13" s="27">
        <f t="shared" ca="1" si="9"/>
        <v>1</v>
      </c>
      <c r="R13" s="35">
        <f t="shared" ca="1" si="13"/>
        <v>6</v>
      </c>
      <c r="S13" s="40">
        <f t="shared" ca="1" si="14"/>
        <v>8</v>
      </c>
      <c r="T13" s="49">
        <f t="shared" ca="1" si="15"/>
        <v>1</v>
      </c>
      <c r="U13" s="50">
        <f t="shared" ca="1" si="16"/>
        <v>0</v>
      </c>
      <c r="V13" s="49">
        <f t="shared" ca="1" si="17"/>
        <v>1</v>
      </c>
      <c r="W13" s="50">
        <f t="shared" ca="1" si="18"/>
        <v>8</v>
      </c>
      <c r="X13" s="49">
        <f t="shared" ca="1" si="19"/>
        <v>0</v>
      </c>
      <c r="Y13" s="50">
        <f t="shared" ca="1" si="20"/>
        <v>0</v>
      </c>
      <c r="Z13" s="49">
        <f t="shared" ca="1" si="21"/>
        <v>0</v>
      </c>
      <c r="AA13" s="50">
        <f t="shared" ca="1" si="22"/>
        <v>0</v>
      </c>
      <c r="AB13" s="49">
        <f t="shared" ca="1" si="23"/>
        <v>0</v>
      </c>
      <c r="AC13" s="50">
        <f t="shared" ca="1" si="24"/>
        <v>0</v>
      </c>
      <c r="AD13" s="49">
        <f t="shared" ca="1" si="25"/>
        <v>0</v>
      </c>
      <c r="AE13" s="50">
        <f t="shared" ca="1" si="26"/>
        <v>0</v>
      </c>
      <c r="AF13" s="49">
        <f t="shared" ca="1" si="27"/>
        <v>0</v>
      </c>
      <c r="AG13" s="50">
        <f t="shared" ca="1" si="28"/>
        <v>0</v>
      </c>
      <c r="AH13" s="49">
        <f t="shared" ca="1" si="29"/>
        <v>2</v>
      </c>
      <c r="AI13" s="50">
        <f t="shared" ca="1" si="30"/>
        <v>0</v>
      </c>
      <c r="AJ13" s="52">
        <f t="shared" ca="1" si="31"/>
        <v>2</v>
      </c>
      <c r="AK13" s="51">
        <f t="shared" ca="1" si="32"/>
        <v>0</v>
      </c>
    </row>
    <row r="14" spans="1:37" x14ac:dyDescent="0.25">
      <c r="D14">
        <v>11</v>
      </c>
      <c r="E14" s="14" t="str">
        <f t="shared" si="10"/>
        <v>P (11)</v>
      </c>
      <c r="F14" t="str">
        <f t="shared" ca="1" si="11"/>
        <v>P11</v>
      </c>
      <c r="G14" t="str">
        <f t="shared" ca="1" si="12"/>
        <v>FORMLDesinger</v>
      </c>
      <c r="H14" s="26">
        <f t="shared" ca="1" si="0"/>
        <v>4</v>
      </c>
      <c r="I14" s="22">
        <f t="shared" ca="1" si="1"/>
        <v>4</v>
      </c>
      <c r="J14" s="20">
        <f t="shared" ca="1" si="2"/>
        <v>1</v>
      </c>
      <c r="K14" s="18">
        <f t="shared" ca="1" si="3"/>
        <v>0</v>
      </c>
      <c r="L14" s="20">
        <f t="shared" ca="1" si="4"/>
        <v>0</v>
      </c>
      <c r="M14" s="18">
        <f t="shared" ca="1" si="5"/>
        <v>1</v>
      </c>
      <c r="N14" s="20">
        <f t="shared" ca="1" si="6"/>
        <v>2</v>
      </c>
      <c r="O14" s="18">
        <f t="shared" ca="1" si="7"/>
        <v>3</v>
      </c>
      <c r="P14" s="20">
        <f t="shared" ca="1" si="8"/>
        <v>1</v>
      </c>
      <c r="Q14" s="27">
        <f t="shared" ca="1" si="9"/>
        <v>0</v>
      </c>
      <c r="R14" s="35">
        <f t="shared" ca="1" si="13"/>
        <v>4</v>
      </c>
      <c r="S14" s="40">
        <f t="shared" ca="1" si="14"/>
        <v>4</v>
      </c>
      <c r="T14" s="49">
        <f t="shared" ca="1" si="15"/>
        <v>0</v>
      </c>
      <c r="U14" s="50">
        <f t="shared" ca="1" si="16"/>
        <v>0</v>
      </c>
      <c r="V14" s="49">
        <f t="shared" ca="1" si="17"/>
        <v>0</v>
      </c>
      <c r="W14" s="50">
        <f t="shared" ca="1" si="18"/>
        <v>2</v>
      </c>
      <c r="X14" s="49">
        <f t="shared" ca="1" si="19"/>
        <v>0</v>
      </c>
      <c r="Y14" s="50">
        <f t="shared" ca="1" si="20"/>
        <v>0</v>
      </c>
      <c r="Z14" s="49">
        <f t="shared" ca="1" si="21"/>
        <v>0</v>
      </c>
      <c r="AA14" s="50">
        <f t="shared" ca="1" si="22"/>
        <v>0</v>
      </c>
      <c r="AB14" s="49">
        <f t="shared" ca="1" si="23"/>
        <v>0</v>
      </c>
      <c r="AC14" s="50">
        <f t="shared" ca="1" si="24"/>
        <v>0</v>
      </c>
      <c r="AD14" s="49">
        <f t="shared" ca="1" si="25"/>
        <v>0</v>
      </c>
      <c r="AE14" s="50">
        <f t="shared" ca="1" si="26"/>
        <v>0</v>
      </c>
      <c r="AF14" s="49">
        <f t="shared" ca="1" si="27"/>
        <v>2</v>
      </c>
      <c r="AG14" s="50">
        <f t="shared" ca="1" si="28"/>
        <v>2</v>
      </c>
      <c r="AH14" s="49">
        <f t="shared" ca="1" si="29"/>
        <v>0</v>
      </c>
      <c r="AI14" s="50">
        <f t="shared" ca="1" si="30"/>
        <v>0</v>
      </c>
      <c r="AJ14" s="52">
        <f t="shared" ca="1" si="31"/>
        <v>2</v>
      </c>
      <c r="AK14" s="51">
        <f t="shared" ca="1" si="32"/>
        <v>0</v>
      </c>
    </row>
    <row r="15" spans="1:37" x14ac:dyDescent="0.25">
      <c r="D15">
        <v>12</v>
      </c>
      <c r="E15" s="14" t="str">
        <f t="shared" si="10"/>
        <v>P (12)</v>
      </c>
      <c r="F15" t="str">
        <f t="shared" ca="1" si="11"/>
        <v>P12</v>
      </c>
      <c r="G15" t="str">
        <f t="shared" ca="1" si="12"/>
        <v>FORMLDesinger</v>
      </c>
      <c r="H15" s="26">
        <f t="shared" ca="1" si="0"/>
        <v>0</v>
      </c>
      <c r="I15" s="22">
        <f t="shared" ca="1" si="1"/>
        <v>1</v>
      </c>
      <c r="J15" s="20">
        <f t="shared" ca="1" si="2"/>
        <v>0</v>
      </c>
      <c r="K15" s="18">
        <f t="shared" ca="1" si="3"/>
        <v>0</v>
      </c>
      <c r="L15" s="20">
        <f t="shared" ca="1" si="4"/>
        <v>0</v>
      </c>
      <c r="M15" s="18">
        <f t="shared" ca="1" si="5"/>
        <v>0</v>
      </c>
      <c r="N15" s="20">
        <f t="shared" ca="1" si="6"/>
        <v>0</v>
      </c>
      <c r="O15" s="18">
        <f t="shared" ca="1" si="7"/>
        <v>1</v>
      </c>
      <c r="P15" s="20">
        <f t="shared" ca="1" si="8"/>
        <v>0</v>
      </c>
      <c r="Q15" s="27">
        <f t="shared" ca="1" si="9"/>
        <v>0</v>
      </c>
      <c r="R15" s="35">
        <f t="shared" ca="1" si="13"/>
        <v>2</v>
      </c>
      <c r="S15" s="40">
        <f t="shared" ca="1" si="14"/>
        <v>0</v>
      </c>
      <c r="T15" s="49">
        <f t="shared" ca="1" si="15"/>
        <v>0</v>
      </c>
      <c r="U15" s="50">
        <f t="shared" ca="1" si="16"/>
        <v>0</v>
      </c>
      <c r="V15" s="49">
        <f t="shared" ca="1" si="17"/>
        <v>0</v>
      </c>
      <c r="W15" s="50">
        <f t="shared" ca="1" si="18"/>
        <v>0</v>
      </c>
      <c r="X15" s="49">
        <f t="shared" ca="1" si="19"/>
        <v>0</v>
      </c>
      <c r="Y15" s="50">
        <f t="shared" ca="1" si="20"/>
        <v>0</v>
      </c>
      <c r="Z15" s="49">
        <f t="shared" ca="1" si="21"/>
        <v>0</v>
      </c>
      <c r="AA15" s="50">
        <f t="shared" ca="1" si="22"/>
        <v>0</v>
      </c>
      <c r="AB15" s="49">
        <f t="shared" ca="1" si="23"/>
        <v>0</v>
      </c>
      <c r="AC15" s="50">
        <f t="shared" ca="1" si="24"/>
        <v>0</v>
      </c>
      <c r="AD15" s="49">
        <f t="shared" ca="1" si="25"/>
        <v>0</v>
      </c>
      <c r="AE15" s="50">
        <f t="shared" ca="1" si="26"/>
        <v>0</v>
      </c>
      <c r="AF15" s="49">
        <f t="shared" ca="1" si="27"/>
        <v>1</v>
      </c>
      <c r="AG15" s="50">
        <f t="shared" ca="1" si="28"/>
        <v>0</v>
      </c>
      <c r="AH15" s="49">
        <f t="shared" ca="1" si="29"/>
        <v>0</v>
      </c>
      <c r="AI15" s="50">
        <f t="shared" ca="1" si="30"/>
        <v>0</v>
      </c>
      <c r="AJ15" s="52">
        <f t="shared" ca="1" si="31"/>
        <v>1</v>
      </c>
      <c r="AK15" s="51">
        <f t="shared" ca="1" si="32"/>
        <v>0</v>
      </c>
    </row>
    <row r="16" spans="1:37" x14ac:dyDescent="0.25">
      <c r="D16">
        <v>13</v>
      </c>
      <c r="E16" s="14" t="str">
        <f t="shared" si="10"/>
        <v>P (13)</v>
      </c>
      <c r="F16" t="str">
        <f t="shared" ca="1" si="11"/>
        <v>P13</v>
      </c>
      <c r="G16" t="str">
        <f t="shared" ca="1" si="12"/>
        <v>FORMLDesigner</v>
      </c>
      <c r="H16" s="26">
        <f t="shared" ca="1" si="0"/>
        <v>0</v>
      </c>
      <c r="I16" s="22">
        <f t="shared" ca="1" si="1"/>
        <v>2</v>
      </c>
      <c r="J16" s="20">
        <f t="shared" ca="1" si="2"/>
        <v>0</v>
      </c>
      <c r="K16" s="18">
        <f t="shared" ca="1" si="3"/>
        <v>0</v>
      </c>
      <c r="L16" s="20">
        <f t="shared" ca="1" si="4"/>
        <v>0</v>
      </c>
      <c r="M16" s="18">
        <f t="shared" ca="1" si="5"/>
        <v>1</v>
      </c>
      <c r="N16" s="20">
        <f t="shared" ca="1" si="6"/>
        <v>0</v>
      </c>
      <c r="O16" s="18">
        <f t="shared" ca="1" si="7"/>
        <v>1</v>
      </c>
      <c r="P16" s="20">
        <f t="shared" ca="1" si="8"/>
        <v>0</v>
      </c>
      <c r="Q16" s="27">
        <f t="shared" ca="1" si="9"/>
        <v>0</v>
      </c>
      <c r="R16" s="35">
        <f t="shared" ca="1" si="13"/>
        <v>1</v>
      </c>
      <c r="S16" s="40">
        <f t="shared" ca="1" si="14"/>
        <v>1</v>
      </c>
      <c r="T16" s="49">
        <f t="shared" ca="1" si="15"/>
        <v>0</v>
      </c>
      <c r="U16" s="50">
        <f t="shared" ca="1" si="16"/>
        <v>0</v>
      </c>
      <c r="V16" s="49">
        <f t="shared" ca="1" si="17"/>
        <v>0</v>
      </c>
      <c r="W16" s="50">
        <f t="shared" ca="1" si="18"/>
        <v>1</v>
      </c>
      <c r="X16" s="49">
        <f t="shared" ca="1" si="19"/>
        <v>0</v>
      </c>
      <c r="Y16" s="50">
        <f t="shared" ca="1" si="20"/>
        <v>0</v>
      </c>
      <c r="Z16" s="49">
        <f t="shared" ca="1" si="21"/>
        <v>0</v>
      </c>
      <c r="AA16" s="50">
        <f t="shared" ca="1" si="22"/>
        <v>0</v>
      </c>
      <c r="AB16" s="49">
        <f t="shared" ca="1" si="23"/>
        <v>0</v>
      </c>
      <c r="AC16" s="50">
        <f t="shared" ca="1" si="24"/>
        <v>0</v>
      </c>
      <c r="AD16" s="49">
        <f t="shared" ca="1" si="25"/>
        <v>0</v>
      </c>
      <c r="AE16" s="50">
        <f t="shared" ca="1" si="26"/>
        <v>0</v>
      </c>
      <c r="AF16" s="49">
        <f t="shared" ca="1" si="27"/>
        <v>0</v>
      </c>
      <c r="AG16" s="50">
        <f t="shared" ca="1" si="28"/>
        <v>0</v>
      </c>
      <c r="AH16" s="49">
        <f t="shared" ca="1" si="29"/>
        <v>1</v>
      </c>
      <c r="AI16" s="50">
        <f t="shared" ca="1" si="30"/>
        <v>0</v>
      </c>
      <c r="AJ16" s="52">
        <f t="shared" ca="1" si="31"/>
        <v>0</v>
      </c>
      <c r="AK16" s="51">
        <f t="shared" ca="1" si="32"/>
        <v>0</v>
      </c>
    </row>
    <row r="17" spans="1:37" x14ac:dyDescent="0.25">
      <c r="D17">
        <v>14</v>
      </c>
      <c r="E17" s="14" t="str">
        <f t="shared" si="10"/>
        <v>P (14)</v>
      </c>
      <c r="F17" t="str">
        <f t="shared" ca="1" si="11"/>
        <v>P14</v>
      </c>
      <c r="G17" t="str">
        <f t="shared" ca="1" si="12"/>
        <v>FORMLDesigner</v>
      </c>
      <c r="H17" s="26">
        <f t="shared" ca="1" si="0"/>
        <v>1</v>
      </c>
      <c r="I17" s="22">
        <f t="shared" ca="1" si="1"/>
        <v>4</v>
      </c>
      <c r="J17" s="20">
        <f t="shared" ca="1" si="2"/>
        <v>0</v>
      </c>
      <c r="K17" s="18">
        <f t="shared" ca="1" si="3"/>
        <v>0</v>
      </c>
      <c r="L17" s="20">
        <f t="shared" ca="1" si="4"/>
        <v>0</v>
      </c>
      <c r="M17" s="18">
        <f t="shared" ca="1" si="5"/>
        <v>1</v>
      </c>
      <c r="N17" s="20">
        <f t="shared" ca="1" si="6"/>
        <v>0</v>
      </c>
      <c r="O17" s="18">
        <f t="shared" ca="1" si="7"/>
        <v>3</v>
      </c>
      <c r="P17" s="20">
        <f t="shared" ca="1" si="8"/>
        <v>1</v>
      </c>
      <c r="Q17" s="27">
        <f t="shared" ca="1" si="9"/>
        <v>0</v>
      </c>
      <c r="R17" s="35">
        <f t="shared" ca="1" si="13"/>
        <v>8</v>
      </c>
      <c r="S17" s="40">
        <f t="shared" ca="1" si="14"/>
        <v>5</v>
      </c>
      <c r="T17" s="49">
        <f t="shared" ca="1" si="15"/>
        <v>0</v>
      </c>
      <c r="U17" s="50">
        <f t="shared" ca="1" si="16"/>
        <v>1</v>
      </c>
      <c r="V17" s="49">
        <f t="shared" ca="1" si="17"/>
        <v>0</v>
      </c>
      <c r="W17" s="50">
        <f t="shared" ca="1" si="18"/>
        <v>0</v>
      </c>
      <c r="X17" s="49">
        <f t="shared" ca="1" si="19"/>
        <v>0</v>
      </c>
      <c r="Y17" s="50">
        <f t="shared" ca="1" si="20"/>
        <v>0</v>
      </c>
      <c r="Z17" s="49">
        <f t="shared" ca="1" si="21"/>
        <v>0</v>
      </c>
      <c r="AA17" s="50">
        <f t="shared" ca="1" si="22"/>
        <v>2</v>
      </c>
      <c r="AB17" s="49">
        <f t="shared" ca="1" si="23"/>
        <v>0</v>
      </c>
      <c r="AC17" s="50">
        <f t="shared" ca="1" si="24"/>
        <v>1</v>
      </c>
      <c r="AD17" s="49">
        <f t="shared" ca="1" si="25"/>
        <v>0</v>
      </c>
      <c r="AE17" s="50">
        <f t="shared" ca="1" si="26"/>
        <v>1</v>
      </c>
      <c r="AF17" s="49">
        <f t="shared" ca="1" si="27"/>
        <v>3</v>
      </c>
      <c r="AG17" s="50">
        <f t="shared" ca="1" si="28"/>
        <v>0</v>
      </c>
      <c r="AH17" s="49">
        <f t="shared" ca="1" si="29"/>
        <v>2</v>
      </c>
      <c r="AI17" s="50">
        <f t="shared" ca="1" si="30"/>
        <v>0</v>
      </c>
      <c r="AJ17" s="52">
        <f t="shared" ca="1" si="31"/>
        <v>3</v>
      </c>
      <c r="AK17" s="51">
        <f t="shared" ca="1" si="32"/>
        <v>0</v>
      </c>
    </row>
    <row r="18" spans="1:37" x14ac:dyDescent="0.25">
      <c r="D18">
        <v>15</v>
      </c>
      <c r="E18" s="14" t="str">
        <f t="shared" si="10"/>
        <v>P (15)</v>
      </c>
      <c r="F18" t="str">
        <f t="shared" ca="1" si="11"/>
        <v>P15</v>
      </c>
      <c r="G18" t="str">
        <f t="shared" ca="1" si="12"/>
        <v>FORMLDesigner</v>
      </c>
      <c r="H18" s="26">
        <f t="shared" ca="1" si="0"/>
        <v>1</v>
      </c>
      <c r="I18" s="22">
        <f t="shared" ca="1" si="1"/>
        <v>4</v>
      </c>
      <c r="J18" s="20">
        <f t="shared" ca="1" si="2"/>
        <v>1</v>
      </c>
      <c r="K18" s="18">
        <f t="shared" ca="1" si="3"/>
        <v>1</v>
      </c>
      <c r="L18" s="20">
        <f t="shared" ca="1" si="4"/>
        <v>0</v>
      </c>
      <c r="M18" s="18">
        <f t="shared" ca="1" si="5"/>
        <v>1</v>
      </c>
      <c r="N18" s="20">
        <f t="shared" ca="1" si="6"/>
        <v>0</v>
      </c>
      <c r="O18" s="18">
        <f t="shared" ca="1" si="7"/>
        <v>2</v>
      </c>
      <c r="P18" s="20">
        <f t="shared" ca="1" si="8"/>
        <v>0</v>
      </c>
      <c r="Q18" s="27">
        <f t="shared" ca="1" si="9"/>
        <v>0</v>
      </c>
      <c r="R18" s="35">
        <f t="shared" ca="1" si="13"/>
        <v>1</v>
      </c>
      <c r="S18" s="40">
        <f t="shared" ca="1" si="14"/>
        <v>3</v>
      </c>
      <c r="T18" s="49">
        <f t="shared" ca="1" si="15"/>
        <v>0</v>
      </c>
      <c r="U18" s="50">
        <f t="shared" ca="1" si="16"/>
        <v>1</v>
      </c>
      <c r="V18" s="49">
        <f t="shared" ca="1" si="17"/>
        <v>1</v>
      </c>
      <c r="W18" s="50">
        <f t="shared" ca="1" si="18"/>
        <v>1</v>
      </c>
      <c r="X18" s="49">
        <f t="shared" ca="1" si="19"/>
        <v>0</v>
      </c>
      <c r="Y18" s="50">
        <f t="shared" ca="1" si="20"/>
        <v>0</v>
      </c>
      <c r="Z18" s="49">
        <f t="shared" ca="1" si="21"/>
        <v>0</v>
      </c>
      <c r="AA18" s="50">
        <f t="shared" ca="1" si="22"/>
        <v>0</v>
      </c>
      <c r="AB18" s="49">
        <f t="shared" ca="1" si="23"/>
        <v>0</v>
      </c>
      <c r="AC18" s="50">
        <f t="shared" ca="1" si="24"/>
        <v>0</v>
      </c>
      <c r="AD18" s="49">
        <f t="shared" ca="1" si="25"/>
        <v>0</v>
      </c>
      <c r="AE18" s="50">
        <f t="shared" ca="1" si="26"/>
        <v>0</v>
      </c>
      <c r="AF18" s="49">
        <f t="shared" ca="1" si="27"/>
        <v>0</v>
      </c>
      <c r="AG18" s="50">
        <f t="shared" ca="1" si="28"/>
        <v>1</v>
      </c>
      <c r="AH18" s="49">
        <f t="shared" ca="1" si="29"/>
        <v>0</v>
      </c>
      <c r="AI18" s="50">
        <f t="shared" ca="1" si="30"/>
        <v>0</v>
      </c>
      <c r="AJ18" s="52">
        <f t="shared" ca="1" si="31"/>
        <v>0</v>
      </c>
      <c r="AK18" s="51">
        <f t="shared" ca="1" si="32"/>
        <v>0</v>
      </c>
    </row>
    <row r="19" spans="1:37" x14ac:dyDescent="0.25">
      <c r="D19">
        <v>16</v>
      </c>
      <c r="E19" s="14" t="str">
        <f t="shared" si="10"/>
        <v>P (16)</v>
      </c>
      <c r="F19" t="str">
        <f t="shared" ca="1" si="11"/>
        <v>P16</v>
      </c>
      <c r="G19" t="str">
        <f t="shared" ca="1" si="12"/>
        <v>Capella</v>
      </c>
      <c r="H19" s="26">
        <f t="shared" ca="1" si="0"/>
        <v>6</v>
      </c>
      <c r="I19" s="22">
        <f t="shared" ca="1" si="1"/>
        <v>3</v>
      </c>
      <c r="J19" s="20">
        <f t="shared" ca="1" si="2"/>
        <v>2</v>
      </c>
      <c r="K19" s="18">
        <f t="shared" ca="1" si="3"/>
        <v>1</v>
      </c>
      <c r="L19" s="20">
        <f t="shared" ca="1" si="4"/>
        <v>0</v>
      </c>
      <c r="M19" s="18">
        <f t="shared" ca="1" si="5"/>
        <v>0</v>
      </c>
      <c r="N19" s="20">
        <f t="shared" ca="1" si="6"/>
        <v>2</v>
      </c>
      <c r="O19" s="18">
        <f t="shared" ca="1" si="7"/>
        <v>2</v>
      </c>
      <c r="P19" s="20">
        <f t="shared" ca="1" si="8"/>
        <v>2</v>
      </c>
      <c r="Q19" s="27">
        <f t="shared" ca="1" si="9"/>
        <v>0</v>
      </c>
      <c r="R19" s="35">
        <f t="shared" ca="1" si="13"/>
        <v>10</v>
      </c>
      <c r="S19" s="40">
        <f t="shared" ca="1" si="14"/>
        <v>0</v>
      </c>
      <c r="T19" s="49">
        <f t="shared" ca="1" si="15"/>
        <v>0</v>
      </c>
      <c r="U19" s="50">
        <f t="shared" ca="1" si="16"/>
        <v>0</v>
      </c>
      <c r="V19" s="49">
        <f t="shared" ca="1" si="17"/>
        <v>2</v>
      </c>
      <c r="W19" s="50">
        <f t="shared" ca="1" si="18"/>
        <v>0</v>
      </c>
      <c r="X19" s="49">
        <f t="shared" ca="1" si="19"/>
        <v>0</v>
      </c>
      <c r="Y19" s="50">
        <f t="shared" ca="1" si="20"/>
        <v>0</v>
      </c>
      <c r="Z19" s="49">
        <f t="shared" ca="1" si="21"/>
        <v>3</v>
      </c>
      <c r="AA19" s="50">
        <f t="shared" ca="1" si="22"/>
        <v>0</v>
      </c>
      <c r="AB19" s="49">
        <f t="shared" ca="1" si="23"/>
        <v>0</v>
      </c>
      <c r="AC19" s="50">
        <f t="shared" ca="1" si="24"/>
        <v>0</v>
      </c>
      <c r="AD19" s="49">
        <f t="shared" ca="1" si="25"/>
        <v>2</v>
      </c>
      <c r="AE19" s="50">
        <f t="shared" ca="1" si="26"/>
        <v>0</v>
      </c>
      <c r="AF19" s="49">
        <f t="shared" ca="1" si="27"/>
        <v>1</v>
      </c>
      <c r="AG19" s="50">
        <f t="shared" ca="1" si="28"/>
        <v>0</v>
      </c>
      <c r="AH19" s="49">
        <f t="shared" ca="1" si="29"/>
        <v>2</v>
      </c>
      <c r="AI19" s="50">
        <f t="shared" ca="1" si="30"/>
        <v>0</v>
      </c>
      <c r="AJ19" s="52">
        <f t="shared" ca="1" si="31"/>
        <v>0</v>
      </c>
      <c r="AK19" s="51">
        <f t="shared" ca="1" si="32"/>
        <v>0</v>
      </c>
    </row>
    <row r="20" spans="1:37" x14ac:dyDescent="0.25">
      <c r="D20">
        <v>17</v>
      </c>
      <c r="E20" s="14" t="str">
        <f t="shared" si="10"/>
        <v>P (17)</v>
      </c>
      <c r="F20" t="str">
        <f t="shared" ca="1" si="11"/>
        <v>P17</v>
      </c>
      <c r="G20" t="str">
        <f t="shared" ca="1" si="12"/>
        <v>Visual Paradigm</v>
      </c>
      <c r="H20" s="26">
        <f t="shared" ca="1" si="0"/>
        <v>6</v>
      </c>
      <c r="I20" s="22">
        <f t="shared" ca="1" si="1"/>
        <v>1</v>
      </c>
      <c r="J20" s="20">
        <f t="shared" ca="1" si="2"/>
        <v>2</v>
      </c>
      <c r="K20" s="18">
        <f t="shared" ca="1" si="3"/>
        <v>0</v>
      </c>
      <c r="L20" s="20">
        <f t="shared" ca="1" si="4"/>
        <v>1</v>
      </c>
      <c r="M20" s="18">
        <f t="shared" ca="1" si="5"/>
        <v>0</v>
      </c>
      <c r="N20" s="20">
        <f t="shared" ca="1" si="6"/>
        <v>1</v>
      </c>
      <c r="O20" s="18">
        <f t="shared" ca="1" si="7"/>
        <v>1</v>
      </c>
      <c r="P20" s="20">
        <f t="shared" ca="1" si="8"/>
        <v>2</v>
      </c>
      <c r="Q20" s="27">
        <f t="shared" ca="1" si="9"/>
        <v>0</v>
      </c>
      <c r="R20" s="35">
        <f t="shared" ca="1" si="13"/>
        <v>4</v>
      </c>
      <c r="S20" s="40">
        <f t="shared" ca="1" si="14"/>
        <v>0</v>
      </c>
      <c r="T20" s="49">
        <f t="shared" ca="1" si="15"/>
        <v>0</v>
      </c>
      <c r="U20" s="50">
        <f t="shared" ca="1" si="16"/>
        <v>0</v>
      </c>
      <c r="V20" s="49">
        <f t="shared" ca="1" si="17"/>
        <v>0</v>
      </c>
      <c r="W20" s="50">
        <f t="shared" ca="1" si="18"/>
        <v>0</v>
      </c>
      <c r="X20" s="49">
        <f t="shared" ca="1" si="19"/>
        <v>0</v>
      </c>
      <c r="Y20" s="50">
        <f t="shared" ca="1" si="20"/>
        <v>0</v>
      </c>
      <c r="Z20" s="49">
        <f t="shared" ca="1" si="21"/>
        <v>1</v>
      </c>
      <c r="AA20" s="50">
        <f t="shared" ca="1" si="22"/>
        <v>0</v>
      </c>
      <c r="AB20" s="49">
        <f t="shared" ca="1" si="23"/>
        <v>0</v>
      </c>
      <c r="AC20" s="50">
        <f t="shared" ca="1" si="24"/>
        <v>0</v>
      </c>
      <c r="AD20" s="49">
        <f t="shared" ca="1" si="25"/>
        <v>1</v>
      </c>
      <c r="AE20" s="50">
        <f t="shared" ca="1" si="26"/>
        <v>0</v>
      </c>
      <c r="AF20" s="49">
        <f t="shared" ca="1" si="27"/>
        <v>1</v>
      </c>
      <c r="AG20" s="50">
        <f t="shared" ca="1" si="28"/>
        <v>0</v>
      </c>
      <c r="AH20" s="49">
        <f t="shared" ca="1" si="29"/>
        <v>1</v>
      </c>
      <c r="AI20" s="50">
        <f t="shared" ca="1" si="30"/>
        <v>0</v>
      </c>
      <c r="AJ20" s="52">
        <f t="shared" ca="1" si="31"/>
        <v>0</v>
      </c>
      <c r="AK20" s="51">
        <f t="shared" ca="1" si="32"/>
        <v>0</v>
      </c>
    </row>
    <row r="21" spans="1:37" ht="15.75" thickBot="1" x14ac:dyDescent="0.3">
      <c r="D21">
        <v>18</v>
      </c>
      <c r="E21" s="14" t="str">
        <f t="shared" si="10"/>
        <v>P (18)</v>
      </c>
      <c r="F21" t="str">
        <f t="shared" ca="1" si="11"/>
        <v>P18</v>
      </c>
      <c r="G21" t="str">
        <f t="shared" ca="1" si="12"/>
        <v>Papyrus</v>
      </c>
      <c r="H21" s="28">
        <f t="shared" ca="1" si="0"/>
        <v>4</v>
      </c>
      <c r="I21" s="29">
        <f t="shared" ca="1" si="1"/>
        <v>1</v>
      </c>
      <c r="J21" s="30">
        <f t="shared" ca="1" si="2"/>
        <v>1</v>
      </c>
      <c r="K21" s="31">
        <f t="shared" ca="1" si="3"/>
        <v>0</v>
      </c>
      <c r="L21" s="30">
        <f t="shared" ca="1" si="4"/>
        <v>0</v>
      </c>
      <c r="M21" s="31">
        <f t="shared" ca="1" si="5"/>
        <v>1</v>
      </c>
      <c r="N21" s="30">
        <f t="shared" ca="1" si="6"/>
        <v>3</v>
      </c>
      <c r="O21" s="31">
        <f t="shared" ca="1" si="7"/>
        <v>0</v>
      </c>
      <c r="P21" s="30">
        <f t="shared" ca="1" si="8"/>
        <v>0</v>
      </c>
      <c r="Q21" s="32">
        <f t="shared" ca="1" si="9"/>
        <v>0</v>
      </c>
      <c r="R21" s="37">
        <f t="shared" ca="1" si="13"/>
        <v>5</v>
      </c>
      <c r="S21" s="41">
        <f t="shared" ca="1" si="14"/>
        <v>0</v>
      </c>
      <c r="T21" s="53">
        <f t="shared" ca="1" si="15"/>
        <v>0</v>
      </c>
      <c r="U21" s="54">
        <f t="shared" ca="1" si="16"/>
        <v>0</v>
      </c>
      <c r="V21" s="53">
        <f t="shared" ca="1" si="17"/>
        <v>0</v>
      </c>
      <c r="W21" s="54">
        <f t="shared" ca="1" si="18"/>
        <v>0</v>
      </c>
      <c r="X21" s="53">
        <f t="shared" ca="1" si="19"/>
        <v>0</v>
      </c>
      <c r="Y21" s="54">
        <f t="shared" ca="1" si="20"/>
        <v>0</v>
      </c>
      <c r="Z21" s="53">
        <f t="shared" ca="1" si="21"/>
        <v>0</v>
      </c>
      <c r="AA21" s="54">
        <f t="shared" ca="1" si="22"/>
        <v>0</v>
      </c>
      <c r="AB21" s="53">
        <f t="shared" ca="1" si="23"/>
        <v>0</v>
      </c>
      <c r="AC21" s="54">
        <f t="shared" ca="1" si="24"/>
        <v>0</v>
      </c>
      <c r="AD21" s="53">
        <f t="shared" ca="1" si="25"/>
        <v>1</v>
      </c>
      <c r="AE21" s="54">
        <f t="shared" ca="1" si="26"/>
        <v>0</v>
      </c>
      <c r="AF21" s="53">
        <f t="shared" ca="1" si="27"/>
        <v>2</v>
      </c>
      <c r="AG21" s="54">
        <f t="shared" ca="1" si="28"/>
        <v>0</v>
      </c>
      <c r="AH21" s="53">
        <f t="shared" ca="1" si="29"/>
        <v>2</v>
      </c>
      <c r="AI21" s="54">
        <f t="shared" ca="1" si="30"/>
        <v>0</v>
      </c>
      <c r="AJ21" s="55">
        <f t="shared" ca="1" si="31"/>
        <v>0</v>
      </c>
      <c r="AK21" s="56">
        <f t="shared" ca="1" si="32"/>
        <v>0</v>
      </c>
    </row>
    <row r="22" spans="1:37" x14ac:dyDescent="0.25">
      <c r="G22" s="1" t="s">
        <v>295</v>
      </c>
      <c r="H22" s="26">
        <f t="shared" ref="H22:Q22" ca="1" si="33">SUM(H18,H17,H16,H15,H14,H13,H11,H10,H8)</f>
        <v>14</v>
      </c>
      <c r="I22" s="26">
        <f t="shared" ca="1" si="33"/>
        <v>27</v>
      </c>
      <c r="J22" s="26">
        <f t="shared" ca="1" si="33"/>
        <v>4</v>
      </c>
      <c r="K22" s="26">
        <f t="shared" ca="1" si="33"/>
        <v>3</v>
      </c>
      <c r="L22" s="26">
        <f t="shared" ca="1" si="33"/>
        <v>0</v>
      </c>
      <c r="M22" s="26">
        <f t="shared" ca="1" si="33"/>
        <v>6</v>
      </c>
      <c r="N22" s="26">
        <f t="shared" ca="1" si="33"/>
        <v>5</v>
      </c>
      <c r="O22" s="26">
        <f t="shared" ca="1" si="33"/>
        <v>17</v>
      </c>
      <c r="P22" s="26">
        <f t="shared" ca="1" si="33"/>
        <v>5</v>
      </c>
      <c r="Q22" s="26">
        <f t="shared" ca="1" si="33"/>
        <v>1</v>
      </c>
      <c r="R22" s="35">
        <f ca="1">SUM(R18,R17,R16,R15,R14,R13,R11,R10,R8)</f>
        <v>29</v>
      </c>
      <c r="S22" s="35">
        <f t="shared" ref="S22:AK22" ca="1" si="34">SUM(S18,S17,S16,S15,S14,S13,S11,S10,S8)</f>
        <v>30</v>
      </c>
      <c r="T22" s="35">
        <f t="shared" ca="1" si="34"/>
        <v>2</v>
      </c>
      <c r="U22" s="35">
        <f t="shared" ca="1" si="34"/>
        <v>2</v>
      </c>
      <c r="V22" s="35">
        <f t="shared" ca="1" si="34"/>
        <v>3</v>
      </c>
      <c r="W22" s="35">
        <f t="shared" ca="1" si="34"/>
        <v>16</v>
      </c>
      <c r="X22" s="35">
        <f t="shared" ca="1" si="34"/>
        <v>1</v>
      </c>
      <c r="Y22" s="35">
        <f t="shared" ca="1" si="34"/>
        <v>1</v>
      </c>
      <c r="Z22" s="35">
        <f t="shared" ca="1" si="34"/>
        <v>0</v>
      </c>
      <c r="AA22" s="35">
        <f t="shared" ca="1" si="34"/>
        <v>2</v>
      </c>
      <c r="AB22" s="35">
        <f t="shared" ca="1" si="34"/>
        <v>0</v>
      </c>
      <c r="AC22" s="35">
        <f t="shared" ca="1" si="34"/>
        <v>3</v>
      </c>
      <c r="AD22" s="35">
        <f t="shared" ca="1" si="34"/>
        <v>0</v>
      </c>
      <c r="AE22" s="35">
        <f t="shared" ca="1" si="34"/>
        <v>1</v>
      </c>
      <c r="AF22" s="35">
        <f t="shared" ca="1" si="34"/>
        <v>8</v>
      </c>
      <c r="AG22" s="35">
        <f t="shared" ca="1" si="34"/>
        <v>5</v>
      </c>
      <c r="AH22" s="35">
        <f t="shared" ca="1" si="34"/>
        <v>5</v>
      </c>
      <c r="AI22" s="35">
        <f t="shared" ca="1" si="34"/>
        <v>0</v>
      </c>
      <c r="AJ22" s="46">
        <f t="shared" ca="1" si="34"/>
        <v>10</v>
      </c>
      <c r="AK22" s="36">
        <f t="shared" ca="1" si="34"/>
        <v>0</v>
      </c>
    </row>
    <row r="23" spans="1:37" x14ac:dyDescent="0.25">
      <c r="G23" s="1" t="s">
        <v>296</v>
      </c>
      <c r="H23" s="26">
        <f t="shared" ref="H23:Q23" ca="1" si="35">SUM(H4,H5,H6,H7,H9,H12,H19,H20,H21)</f>
        <v>45</v>
      </c>
      <c r="I23" s="26">
        <f t="shared" ca="1" si="35"/>
        <v>11</v>
      </c>
      <c r="J23" s="26">
        <f t="shared" ca="1" si="35"/>
        <v>21</v>
      </c>
      <c r="K23" s="26">
        <f t="shared" ca="1" si="35"/>
        <v>1</v>
      </c>
      <c r="L23" s="26">
        <f t="shared" ca="1" si="35"/>
        <v>8</v>
      </c>
      <c r="M23" s="26">
        <f t="shared" ca="1" si="35"/>
        <v>4</v>
      </c>
      <c r="N23" s="26">
        <f t="shared" ca="1" si="35"/>
        <v>9</v>
      </c>
      <c r="O23" s="26">
        <f t="shared" ca="1" si="35"/>
        <v>5</v>
      </c>
      <c r="P23" s="26">
        <f t="shared" ca="1" si="35"/>
        <v>7</v>
      </c>
      <c r="Q23" s="26">
        <f t="shared" ca="1" si="35"/>
        <v>1</v>
      </c>
      <c r="R23" s="35">
        <f ca="1">SUM(R4,R5,R6,R7,R9,R12,R19,R20,R21)</f>
        <v>71</v>
      </c>
      <c r="S23" s="35">
        <f t="shared" ref="S23:AK23" ca="1" si="36">SUM(S4,S5,S6,S7,S9,S12,S19,S20,S21)</f>
        <v>13</v>
      </c>
      <c r="T23" s="35">
        <f t="shared" ca="1" si="36"/>
        <v>5</v>
      </c>
      <c r="U23" s="35">
        <f t="shared" ca="1" si="36"/>
        <v>1</v>
      </c>
      <c r="V23" s="35">
        <f t="shared" ca="1" si="36"/>
        <v>3</v>
      </c>
      <c r="W23" s="35">
        <f t="shared" ca="1" si="36"/>
        <v>0</v>
      </c>
      <c r="X23" s="35">
        <f t="shared" ca="1" si="36"/>
        <v>0</v>
      </c>
      <c r="Y23" s="35">
        <f t="shared" ca="1" si="36"/>
        <v>0</v>
      </c>
      <c r="Z23" s="35">
        <f t="shared" ca="1" si="36"/>
        <v>11</v>
      </c>
      <c r="AA23" s="35">
        <f t="shared" ca="1" si="36"/>
        <v>3</v>
      </c>
      <c r="AB23" s="35">
        <f t="shared" ca="1" si="36"/>
        <v>0</v>
      </c>
      <c r="AC23" s="35">
        <f t="shared" ca="1" si="36"/>
        <v>0</v>
      </c>
      <c r="AD23" s="35">
        <f t="shared" ca="1" si="36"/>
        <v>19</v>
      </c>
      <c r="AE23" s="35">
        <f t="shared" ca="1" si="36"/>
        <v>4</v>
      </c>
      <c r="AF23" s="35">
        <f t="shared" ca="1" si="36"/>
        <v>17</v>
      </c>
      <c r="AG23" s="35">
        <f t="shared" ca="1" si="36"/>
        <v>4</v>
      </c>
      <c r="AH23" s="35">
        <f t="shared" ca="1" si="36"/>
        <v>15</v>
      </c>
      <c r="AI23" s="35">
        <f t="shared" ca="1" si="36"/>
        <v>1</v>
      </c>
      <c r="AJ23" s="47">
        <f t="shared" ca="1" si="36"/>
        <v>1</v>
      </c>
      <c r="AK23" s="36">
        <f t="shared" ca="1" si="36"/>
        <v>0</v>
      </c>
    </row>
    <row r="24" spans="1:37" x14ac:dyDescent="0.25">
      <c r="G24" s="1" t="s">
        <v>297</v>
      </c>
      <c r="H24" s="26">
        <f t="shared" ref="H24:Q24" ca="1" si="37">SUM(SIGN(H18),SIGN(H17),SIGN(H16),SIGN(H15),SIGN(H14),SIGN(H13),SIGN(H11),SIGN(H10),SIGN(H8))</f>
        <v>6</v>
      </c>
      <c r="I24" s="26">
        <f t="shared" ca="1" si="37"/>
        <v>9</v>
      </c>
      <c r="J24" s="26">
        <f t="shared" ca="1" si="37"/>
        <v>4</v>
      </c>
      <c r="K24" s="26">
        <f t="shared" ca="1" si="37"/>
        <v>3</v>
      </c>
      <c r="L24" s="26">
        <f t="shared" ca="1" si="37"/>
        <v>0</v>
      </c>
      <c r="M24" s="26">
        <f t="shared" ca="1" si="37"/>
        <v>6</v>
      </c>
      <c r="N24" s="26">
        <f t="shared" ca="1" si="37"/>
        <v>3</v>
      </c>
      <c r="O24" s="26">
        <f t="shared" ca="1" si="37"/>
        <v>8</v>
      </c>
      <c r="P24" s="26">
        <f t="shared" ca="1" si="37"/>
        <v>4</v>
      </c>
      <c r="Q24" s="26">
        <f t="shared" ca="1" si="37"/>
        <v>1</v>
      </c>
      <c r="R24" s="35">
        <f ca="1">SUM(SIGN(R18),SIGN(R17),SIGN(R16),SIGN(R15),SIGN(R14),SIGN(R13),SIGN(R11),SIGN(R10),SIGN(R8))</f>
        <v>9</v>
      </c>
      <c r="S24" s="35">
        <f t="shared" ref="S24:AK24" ca="1" si="38">SUM(SIGN(S18),SIGN(S17),SIGN(S16),SIGN(S15),SIGN(S14),SIGN(S13),SIGN(S11),SIGN(S10),SIGN(S8))</f>
        <v>7</v>
      </c>
      <c r="T24" s="35">
        <f t="shared" ca="1" si="38"/>
        <v>2</v>
      </c>
      <c r="U24" s="35">
        <f t="shared" ca="1" si="38"/>
        <v>2</v>
      </c>
      <c r="V24" s="35">
        <f t="shared" ca="1" si="38"/>
        <v>3</v>
      </c>
      <c r="W24" s="35">
        <f t="shared" ca="1" si="38"/>
        <v>6</v>
      </c>
      <c r="X24" s="35">
        <f t="shared" ca="1" si="38"/>
        <v>1</v>
      </c>
      <c r="Y24" s="35">
        <f t="shared" ca="1" si="38"/>
        <v>1</v>
      </c>
      <c r="Z24" s="35">
        <f t="shared" ca="1" si="38"/>
        <v>0</v>
      </c>
      <c r="AA24" s="35">
        <f t="shared" ca="1" si="38"/>
        <v>1</v>
      </c>
      <c r="AB24" s="35">
        <f t="shared" ca="1" si="38"/>
        <v>0</v>
      </c>
      <c r="AC24" s="35">
        <f t="shared" ca="1" si="38"/>
        <v>2</v>
      </c>
      <c r="AD24" s="35">
        <f t="shared" ca="1" si="38"/>
        <v>0</v>
      </c>
      <c r="AE24" s="35">
        <f t="shared" ca="1" si="38"/>
        <v>1</v>
      </c>
      <c r="AF24" s="35">
        <f t="shared" ca="1" si="38"/>
        <v>5</v>
      </c>
      <c r="AG24" s="35">
        <f t="shared" ca="1" si="38"/>
        <v>4</v>
      </c>
      <c r="AH24" s="35">
        <f t="shared" ca="1" si="38"/>
        <v>3</v>
      </c>
      <c r="AI24" s="35">
        <f t="shared" ca="1" si="38"/>
        <v>0</v>
      </c>
      <c r="AJ24" s="47">
        <f t="shared" ca="1" si="38"/>
        <v>5</v>
      </c>
      <c r="AK24" s="36">
        <f t="shared" ca="1" si="38"/>
        <v>0</v>
      </c>
    </row>
    <row r="25" spans="1:37" ht="15.75" thickBot="1" x14ac:dyDescent="0.3">
      <c r="G25" s="1" t="s">
        <v>298</v>
      </c>
      <c r="H25" s="28">
        <f t="shared" ref="H25:Q25" ca="1" si="39">SUM(SIGN(H4),SIGN(H5),SIGN(H6),SIGN(H7),SIGN(H9),SIGN(H12),SIGN(H19),SIGN(H20),SIGN(H21))</f>
        <v>9</v>
      </c>
      <c r="I25" s="28">
        <f t="shared" ca="1" si="39"/>
        <v>6</v>
      </c>
      <c r="J25" s="28">
        <f t="shared" ca="1" si="39"/>
        <v>9</v>
      </c>
      <c r="K25" s="28">
        <f t="shared" ca="1" si="39"/>
        <v>1</v>
      </c>
      <c r="L25" s="28">
        <f t="shared" ca="1" si="39"/>
        <v>4</v>
      </c>
      <c r="M25" s="28">
        <f t="shared" ca="1" si="39"/>
        <v>4</v>
      </c>
      <c r="N25" s="28">
        <f t="shared" ca="1" si="39"/>
        <v>4</v>
      </c>
      <c r="O25" s="28">
        <f t="shared" ca="1" si="39"/>
        <v>3</v>
      </c>
      <c r="P25" s="28">
        <f t="shared" ca="1" si="39"/>
        <v>4</v>
      </c>
      <c r="Q25" s="28">
        <f t="shared" ca="1" si="39"/>
        <v>1</v>
      </c>
      <c r="R25" s="37">
        <f ca="1">SUM(SIGN(R4),SIGN(R5),SIGN(R6),SIGN(R7),SIGN(R9),SIGN(R12),SIGN(R19),SIGN(R20),SIGN(R21))</f>
        <v>9</v>
      </c>
      <c r="S25" s="37">
        <f t="shared" ref="S25:AK25" ca="1" si="40">SUM(SIGN(S4),SIGN(S5),SIGN(S6),SIGN(S7),SIGN(S9),SIGN(S12),SIGN(S19),SIGN(S20),SIGN(S21))</f>
        <v>4</v>
      </c>
      <c r="T25" s="37">
        <f t="shared" ca="1" si="40"/>
        <v>2</v>
      </c>
      <c r="U25" s="37">
        <f t="shared" ca="1" si="40"/>
        <v>1</v>
      </c>
      <c r="V25" s="37">
        <f t="shared" ca="1" si="40"/>
        <v>2</v>
      </c>
      <c r="W25" s="37">
        <f t="shared" ca="1" si="40"/>
        <v>0</v>
      </c>
      <c r="X25" s="37">
        <f t="shared" ca="1" si="40"/>
        <v>0</v>
      </c>
      <c r="Y25" s="37">
        <f t="shared" ca="1" si="40"/>
        <v>0</v>
      </c>
      <c r="Z25" s="37">
        <f t="shared" ca="1" si="40"/>
        <v>4</v>
      </c>
      <c r="AA25" s="37">
        <f t="shared" ca="1" si="40"/>
        <v>3</v>
      </c>
      <c r="AB25" s="37">
        <f t="shared" ca="1" si="40"/>
        <v>0</v>
      </c>
      <c r="AC25" s="37">
        <f t="shared" ca="1" si="40"/>
        <v>0</v>
      </c>
      <c r="AD25" s="37">
        <f t="shared" ca="1" si="40"/>
        <v>6</v>
      </c>
      <c r="AE25" s="37">
        <f t="shared" ca="1" si="40"/>
        <v>2</v>
      </c>
      <c r="AF25" s="37">
        <f t="shared" ca="1" si="40"/>
        <v>8</v>
      </c>
      <c r="AG25" s="37">
        <f t="shared" ca="1" si="40"/>
        <v>2</v>
      </c>
      <c r="AH25" s="37">
        <f t="shared" ca="1" si="40"/>
        <v>8</v>
      </c>
      <c r="AI25" s="37">
        <f t="shared" ca="1" si="40"/>
        <v>1</v>
      </c>
      <c r="AJ25" s="48">
        <f t="shared" ca="1" si="40"/>
        <v>1</v>
      </c>
      <c r="AK25" s="38">
        <f t="shared" ca="1" si="40"/>
        <v>0</v>
      </c>
    </row>
    <row r="31" spans="1:37" x14ac:dyDescent="0.25">
      <c r="A31" s="62" t="s">
        <v>252</v>
      </c>
      <c r="B31" s="62"/>
    </row>
    <row r="32" spans="1:37" x14ac:dyDescent="0.25">
      <c r="A32" s="62" t="s">
        <v>4</v>
      </c>
      <c r="B32" s="62"/>
    </row>
    <row r="33" spans="1:2" x14ac:dyDescent="0.25">
      <c r="A33" s="62" t="s">
        <v>9</v>
      </c>
      <c r="B33" s="62"/>
    </row>
    <row r="34" spans="1:2" x14ac:dyDescent="0.25">
      <c r="A34" s="11" t="s">
        <v>15</v>
      </c>
      <c r="B34" s="11" t="s">
        <v>11</v>
      </c>
    </row>
    <row r="35" spans="1:2" x14ac:dyDescent="0.25">
      <c r="A35" s="11" t="s">
        <v>15</v>
      </c>
      <c r="B35" s="11" t="s">
        <v>11</v>
      </c>
    </row>
    <row r="36" spans="1:2" x14ac:dyDescent="0.25">
      <c r="A36" s="11" t="s">
        <v>16</v>
      </c>
      <c r="B36" s="11" t="s">
        <v>11</v>
      </c>
    </row>
    <row r="37" spans="1:2" x14ac:dyDescent="0.25">
      <c r="A37" s="11" t="s">
        <v>16</v>
      </c>
      <c r="B37" s="11" t="s">
        <v>11</v>
      </c>
    </row>
    <row r="38" spans="1:2" x14ac:dyDescent="0.25">
      <c r="A38" s="11" t="s">
        <v>20</v>
      </c>
      <c r="B38" s="11" t="s">
        <v>19</v>
      </c>
    </row>
    <row r="39" spans="1:2" x14ac:dyDescent="0.25">
      <c r="A39" s="11" t="s">
        <v>20</v>
      </c>
      <c r="B39" s="11" t="s">
        <v>19</v>
      </c>
    </row>
    <row r="40" spans="1:2" x14ac:dyDescent="0.25">
      <c r="A40" s="11" t="s">
        <v>22</v>
      </c>
      <c r="B40" s="11" t="s">
        <v>19</v>
      </c>
    </row>
    <row r="41" spans="1:2" x14ac:dyDescent="0.25">
      <c r="A41" s="11" t="s">
        <v>25</v>
      </c>
      <c r="B41" s="11" t="s">
        <v>11</v>
      </c>
    </row>
    <row r="42" spans="1:2" x14ac:dyDescent="0.25">
      <c r="A42" s="11" t="s">
        <v>15</v>
      </c>
      <c r="B42" s="11" t="s">
        <v>11</v>
      </c>
    </row>
    <row r="43" spans="1:2" x14ac:dyDescent="0.25">
      <c r="A43" s="11" t="s">
        <v>22</v>
      </c>
      <c r="B43" s="11" t="s">
        <v>11</v>
      </c>
    </row>
    <row r="44" spans="1:2" x14ac:dyDescent="0.25">
      <c r="A44" s="11" t="s">
        <v>15</v>
      </c>
      <c r="B44" s="11" t="s">
        <v>11</v>
      </c>
    </row>
    <row r="46" spans="1:2" x14ac:dyDescent="0.25">
      <c r="A46" s="62" t="s">
        <v>5</v>
      </c>
      <c r="B46" s="62"/>
    </row>
    <row r="47" spans="1:2" x14ac:dyDescent="0.25">
      <c r="A47" s="62" t="s">
        <v>9</v>
      </c>
      <c r="B47" s="62"/>
    </row>
    <row r="48" spans="1:2" x14ac:dyDescent="0.25">
      <c r="A48" s="11" t="s">
        <v>15</v>
      </c>
      <c r="B48" s="11" t="s">
        <v>38</v>
      </c>
    </row>
    <row r="49" spans="1:2" x14ac:dyDescent="0.25">
      <c r="A49" s="11" t="s">
        <v>15</v>
      </c>
      <c r="B49" s="11" t="s">
        <v>11</v>
      </c>
    </row>
    <row r="50" spans="1:2" x14ac:dyDescent="0.25">
      <c r="A50" s="11" t="s">
        <v>15</v>
      </c>
      <c r="B50" s="11" t="s">
        <v>38</v>
      </c>
    </row>
    <row r="51" spans="1:2" x14ac:dyDescent="0.25">
      <c r="A51" s="11" t="s">
        <v>15</v>
      </c>
      <c r="B51" s="11" t="s">
        <v>11</v>
      </c>
    </row>
    <row r="52" spans="1:2" x14ac:dyDescent="0.25">
      <c r="A52" s="11" t="s">
        <v>15</v>
      </c>
      <c r="B52" s="11" t="s">
        <v>11</v>
      </c>
    </row>
    <row r="53" spans="1:2" x14ac:dyDescent="0.25">
      <c r="A53" s="11" t="s">
        <v>22</v>
      </c>
      <c r="B53" s="11" t="s">
        <v>19</v>
      </c>
    </row>
    <row r="54" spans="1:2" x14ac:dyDescent="0.25">
      <c r="A54" s="11" t="s">
        <v>15</v>
      </c>
      <c r="B54" s="11" t="s">
        <v>11</v>
      </c>
    </row>
    <row r="56" spans="1:2" x14ac:dyDescent="0.25">
      <c r="A56" s="62" t="s">
        <v>6</v>
      </c>
      <c r="B56" s="62"/>
    </row>
    <row r="57" spans="1:2" x14ac:dyDescent="0.25">
      <c r="A57" s="62" t="s">
        <v>97</v>
      </c>
      <c r="B57" s="62"/>
    </row>
    <row r="58" spans="1:2" x14ac:dyDescent="0.25">
      <c r="A58" s="11" t="s">
        <v>15</v>
      </c>
      <c r="B58" s="11" t="s">
        <v>11</v>
      </c>
    </row>
    <row r="59" spans="1:2" x14ac:dyDescent="0.25">
      <c r="A59" s="11" t="s">
        <v>15</v>
      </c>
      <c r="B59" s="11" t="s">
        <v>38</v>
      </c>
    </row>
    <row r="60" spans="1:2" x14ac:dyDescent="0.25">
      <c r="A60" s="11" t="s">
        <v>15</v>
      </c>
      <c r="B60" s="11" t="s">
        <v>11</v>
      </c>
    </row>
    <row r="61" spans="1:2" x14ac:dyDescent="0.25">
      <c r="A61" s="11" t="s">
        <v>22</v>
      </c>
      <c r="B61" s="11" t="s">
        <v>38</v>
      </c>
    </row>
    <row r="62" spans="1:2" x14ac:dyDescent="0.25">
      <c r="A62" s="11" t="s">
        <v>15</v>
      </c>
      <c r="B62" s="11" t="s">
        <v>38</v>
      </c>
    </row>
    <row r="64" spans="1:2" x14ac:dyDescent="0.25">
      <c r="A64" s="62" t="s">
        <v>7</v>
      </c>
      <c r="B64" s="62"/>
    </row>
    <row r="65" spans="1:2" x14ac:dyDescent="0.25">
      <c r="A65" s="62" t="s">
        <v>97</v>
      </c>
      <c r="B65" s="62"/>
    </row>
    <row r="66" spans="1:2" x14ac:dyDescent="0.25">
      <c r="A66" s="11" t="s">
        <v>15</v>
      </c>
      <c r="B66" s="11" t="s">
        <v>11</v>
      </c>
    </row>
    <row r="67" spans="1:2" x14ac:dyDescent="0.25">
      <c r="A67" s="11" t="s">
        <v>22</v>
      </c>
      <c r="B67" s="11" t="s">
        <v>11</v>
      </c>
    </row>
    <row r="68" spans="1:2" x14ac:dyDescent="0.25">
      <c r="A68" s="11" t="s">
        <v>15</v>
      </c>
      <c r="B68" s="11" t="s">
        <v>11</v>
      </c>
    </row>
    <row r="69" spans="1:2" x14ac:dyDescent="0.25">
      <c r="A69" s="11" t="s">
        <v>22</v>
      </c>
      <c r="B69" s="11" t="s">
        <v>11</v>
      </c>
    </row>
    <row r="70" spans="1:2" x14ac:dyDescent="0.25">
      <c r="A70" s="11" t="s">
        <v>22</v>
      </c>
      <c r="B70" s="11" t="s">
        <v>11</v>
      </c>
    </row>
    <row r="71" spans="1:2" x14ac:dyDescent="0.25">
      <c r="A71" s="11" t="s">
        <v>22</v>
      </c>
      <c r="B71" s="11" t="s">
        <v>11</v>
      </c>
    </row>
    <row r="72" spans="1:2" x14ac:dyDescent="0.25">
      <c r="A72" s="11" t="s">
        <v>22</v>
      </c>
      <c r="B72" s="11" t="s">
        <v>11</v>
      </c>
    </row>
    <row r="74" spans="1:2" x14ac:dyDescent="0.25">
      <c r="A74" s="62" t="s">
        <v>8</v>
      </c>
      <c r="B74" s="62"/>
    </row>
    <row r="75" spans="1:2" x14ac:dyDescent="0.25">
      <c r="A75" s="62" t="s">
        <v>141</v>
      </c>
      <c r="B75" s="62"/>
    </row>
    <row r="76" spans="1:2" x14ac:dyDescent="0.25">
      <c r="A76" s="11" t="s">
        <v>22</v>
      </c>
      <c r="B76" s="11" t="s">
        <v>19</v>
      </c>
    </row>
    <row r="78" spans="1:2" x14ac:dyDescent="0.25">
      <c r="A78" s="62" t="s">
        <v>124</v>
      </c>
      <c r="B78" s="62"/>
    </row>
    <row r="79" spans="1:2" x14ac:dyDescent="0.25">
      <c r="A79" s="62" t="s">
        <v>125</v>
      </c>
      <c r="B79" s="62"/>
    </row>
    <row r="80" spans="1:2" x14ac:dyDescent="0.25">
      <c r="A80" s="11" t="s">
        <v>22</v>
      </c>
      <c r="B80" s="11" t="s">
        <v>19</v>
      </c>
    </row>
    <row r="81" spans="1:2" x14ac:dyDescent="0.25">
      <c r="A81" s="11" t="s">
        <v>122</v>
      </c>
      <c r="B81" s="11" t="s">
        <v>11</v>
      </c>
    </row>
    <row r="82" spans="1:2" x14ac:dyDescent="0.25">
      <c r="A82" s="11" t="s">
        <v>15</v>
      </c>
      <c r="B82" s="11" t="s">
        <v>11</v>
      </c>
    </row>
    <row r="83" spans="1:2" x14ac:dyDescent="0.25">
      <c r="A83" s="11" t="s">
        <v>16</v>
      </c>
      <c r="B83" s="11" t="s">
        <v>11</v>
      </c>
    </row>
    <row r="84" spans="1:2" x14ac:dyDescent="0.25">
      <c r="A84" s="11" t="s">
        <v>122</v>
      </c>
      <c r="B84" s="11" t="s">
        <v>11</v>
      </c>
    </row>
    <row r="85" spans="1:2" x14ac:dyDescent="0.25">
      <c r="A85" s="11" t="s">
        <v>122</v>
      </c>
      <c r="B85" s="11" t="s">
        <v>11</v>
      </c>
    </row>
    <row r="86" spans="1:2" x14ac:dyDescent="0.25">
      <c r="A86" s="11" t="s">
        <v>122</v>
      </c>
      <c r="B86" s="11" t="s">
        <v>19</v>
      </c>
    </row>
    <row r="87" spans="1:2" x14ac:dyDescent="0.25">
      <c r="A87" s="11" t="s">
        <v>136</v>
      </c>
      <c r="B87" s="11" t="s">
        <v>19</v>
      </c>
    </row>
    <row r="89" spans="1:2" x14ac:dyDescent="0.25">
      <c r="A89" s="62" t="s">
        <v>145</v>
      </c>
      <c r="B89" s="62"/>
    </row>
    <row r="90" spans="1:2" x14ac:dyDescent="0.25">
      <c r="A90" s="62" t="s">
        <v>141</v>
      </c>
      <c r="B90" s="62"/>
    </row>
    <row r="91" spans="1:2" x14ac:dyDescent="0.25">
      <c r="A91" s="11" t="s">
        <v>122</v>
      </c>
      <c r="B91" s="11" t="s">
        <v>19</v>
      </c>
    </row>
    <row r="92" spans="1:2" x14ac:dyDescent="0.25">
      <c r="A92" s="11" t="s">
        <v>15</v>
      </c>
      <c r="B92" s="11" t="s">
        <v>11</v>
      </c>
    </row>
    <row r="93" spans="1:2" x14ac:dyDescent="0.25">
      <c r="A93" s="11" t="s">
        <v>16</v>
      </c>
      <c r="B93" s="11" t="s">
        <v>11</v>
      </c>
    </row>
    <row r="94" spans="1:2" x14ac:dyDescent="0.25">
      <c r="A94" s="11" t="s">
        <v>122</v>
      </c>
      <c r="B94" s="11" t="s">
        <v>19</v>
      </c>
    </row>
    <row r="95" spans="1:2" x14ac:dyDescent="0.25">
      <c r="A95" s="11" t="s">
        <v>122</v>
      </c>
      <c r="B95" s="11" t="s">
        <v>11</v>
      </c>
    </row>
    <row r="96" spans="1:2" x14ac:dyDescent="0.25">
      <c r="A96" s="11" t="s">
        <v>16</v>
      </c>
      <c r="B96" s="11" t="s">
        <v>11</v>
      </c>
    </row>
    <row r="97" spans="1:2" x14ac:dyDescent="0.25">
      <c r="A97" s="11" t="s">
        <v>22</v>
      </c>
      <c r="B97" s="11" t="s">
        <v>19</v>
      </c>
    </row>
    <row r="98" spans="1:2" x14ac:dyDescent="0.25">
      <c r="A98" s="11" t="s">
        <v>15</v>
      </c>
      <c r="B98" s="11" t="s">
        <v>19</v>
      </c>
    </row>
    <row r="99" spans="1:2" x14ac:dyDescent="0.25">
      <c r="A99" s="11" t="s">
        <v>122</v>
      </c>
      <c r="B99" s="11" t="s">
        <v>19</v>
      </c>
    </row>
    <row r="101" spans="1:2" x14ac:dyDescent="0.25">
      <c r="A101" s="62" t="s">
        <v>165</v>
      </c>
      <c r="B101" s="62"/>
    </row>
    <row r="102" spans="1:2" x14ac:dyDescent="0.25">
      <c r="A102" s="62" t="s">
        <v>141</v>
      </c>
      <c r="B102" s="62"/>
    </row>
    <row r="103" spans="1:2" x14ac:dyDescent="0.25">
      <c r="A103" s="11" t="s">
        <v>122</v>
      </c>
      <c r="B103" s="11" t="s">
        <v>11</v>
      </c>
    </row>
    <row r="104" spans="1:2" x14ac:dyDescent="0.25">
      <c r="A104" s="11" t="s">
        <v>16</v>
      </c>
      <c r="B104" s="11" t="s">
        <v>11</v>
      </c>
    </row>
    <row r="105" spans="1:2" x14ac:dyDescent="0.25">
      <c r="A105" s="11" t="s">
        <v>122</v>
      </c>
      <c r="B105" s="11" t="s">
        <v>19</v>
      </c>
    </row>
    <row r="106" spans="1:2" x14ac:dyDescent="0.25">
      <c r="A106" s="11" t="s">
        <v>122</v>
      </c>
      <c r="B106" s="11" t="s">
        <v>11</v>
      </c>
    </row>
    <row r="107" spans="1:2" x14ac:dyDescent="0.25">
      <c r="A107" s="11" t="s">
        <v>122</v>
      </c>
      <c r="B107" s="11" t="s">
        <v>19</v>
      </c>
    </row>
    <row r="109" spans="1:2" x14ac:dyDescent="0.25">
      <c r="A109" s="62" t="s">
        <v>175</v>
      </c>
      <c r="B109" s="62"/>
    </row>
    <row r="110" spans="1:2" x14ac:dyDescent="0.25">
      <c r="A110" s="62" t="s">
        <v>176</v>
      </c>
      <c r="B110" s="62"/>
    </row>
    <row r="111" spans="1:2" x14ac:dyDescent="0.25">
      <c r="A111" s="11" t="s">
        <v>15</v>
      </c>
      <c r="B111" s="11" t="s">
        <v>11</v>
      </c>
    </row>
    <row r="112" spans="1:2" x14ac:dyDescent="0.25">
      <c r="A112" s="11" t="s">
        <v>179</v>
      </c>
      <c r="B112" s="11" t="s">
        <v>11</v>
      </c>
    </row>
    <row r="113" spans="1:2" x14ac:dyDescent="0.25">
      <c r="A113" s="11" t="s">
        <v>15</v>
      </c>
      <c r="B113" s="11" t="s">
        <v>11</v>
      </c>
    </row>
    <row r="115" spans="1:2" x14ac:dyDescent="0.25">
      <c r="A115" s="62" t="s">
        <v>190</v>
      </c>
      <c r="B115" s="62"/>
    </row>
    <row r="116" spans="1:2" x14ac:dyDescent="0.25">
      <c r="A116" s="62" t="s">
        <v>141</v>
      </c>
      <c r="B116" s="62"/>
    </row>
    <row r="117" spans="1:2" x14ac:dyDescent="0.25">
      <c r="A117" s="11" t="s">
        <v>15</v>
      </c>
      <c r="B117" s="11" t="s">
        <v>11</v>
      </c>
    </row>
    <row r="118" spans="1:2" x14ac:dyDescent="0.25">
      <c r="A118" s="11" t="s">
        <v>16</v>
      </c>
      <c r="B118" s="11" t="s">
        <v>19</v>
      </c>
    </row>
    <row r="119" spans="1:2" x14ac:dyDescent="0.25">
      <c r="A119" s="11" t="s">
        <v>122</v>
      </c>
      <c r="B119" s="11" t="s">
        <v>19</v>
      </c>
    </row>
    <row r="120" spans="1:2" x14ac:dyDescent="0.25">
      <c r="A120" s="11" t="s">
        <v>122</v>
      </c>
      <c r="B120" s="11" t="s">
        <v>19</v>
      </c>
    </row>
    <row r="121" spans="1:2" x14ac:dyDescent="0.25">
      <c r="A121" s="11" t="s">
        <v>15</v>
      </c>
      <c r="B121" s="11" t="s">
        <v>19</v>
      </c>
    </row>
    <row r="123" spans="1:2" x14ac:dyDescent="0.25">
      <c r="A123" s="62" t="s">
        <v>203</v>
      </c>
      <c r="B123" s="62"/>
    </row>
    <row r="124" spans="1:2" x14ac:dyDescent="0.25">
      <c r="A124" s="62" t="s">
        <v>226</v>
      </c>
      <c r="B124" s="62"/>
    </row>
    <row r="125" spans="1:2" x14ac:dyDescent="0.25">
      <c r="A125" s="11" t="s">
        <v>15</v>
      </c>
      <c r="B125" s="11" t="s">
        <v>11</v>
      </c>
    </row>
    <row r="126" spans="1:2" x14ac:dyDescent="0.25">
      <c r="A126" s="11" t="s">
        <v>122</v>
      </c>
      <c r="B126" s="11" t="s">
        <v>19</v>
      </c>
    </row>
    <row r="127" spans="1:2" x14ac:dyDescent="0.25">
      <c r="A127" s="11" t="s">
        <v>122</v>
      </c>
      <c r="B127" s="11" t="s">
        <v>19</v>
      </c>
    </row>
    <row r="128" spans="1:2" x14ac:dyDescent="0.25">
      <c r="A128" s="11" t="s">
        <v>136</v>
      </c>
      <c r="B128" s="11" t="s">
        <v>11</v>
      </c>
    </row>
    <row r="129" spans="1:2" x14ac:dyDescent="0.25">
      <c r="A129" s="11" t="s">
        <v>122</v>
      </c>
      <c r="B129" s="11" t="s">
        <v>11</v>
      </c>
    </row>
    <row r="130" spans="1:2" x14ac:dyDescent="0.25">
      <c r="A130" s="11" t="s">
        <v>122</v>
      </c>
      <c r="B130" s="11" t="s">
        <v>19</v>
      </c>
    </row>
    <row r="132" spans="1:2" x14ac:dyDescent="0.25">
      <c r="A132" s="62" t="s">
        <v>240</v>
      </c>
      <c r="B132" s="62"/>
    </row>
    <row r="133" spans="1:2" x14ac:dyDescent="0.25">
      <c r="A133" s="62" t="s">
        <v>226</v>
      </c>
      <c r="B133" s="62"/>
    </row>
    <row r="134" spans="1:2" x14ac:dyDescent="0.25">
      <c r="A134" s="11" t="s">
        <v>122</v>
      </c>
      <c r="B134" s="11" t="s">
        <v>19</v>
      </c>
    </row>
    <row r="136" spans="1:2" x14ac:dyDescent="0.25">
      <c r="A136" s="62" t="s">
        <v>204</v>
      </c>
      <c r="B136" s="62"/>
    </row>
    <row r="137" spans="1:2" x14ac:dyDescent="0.25">
      <c r="A137" s="62" t="s">
        <v>141</v>
      </c>
      <c r="B137" s="62"/>
    </row>
    <row r="138" spans="1:2" x14ac:dyDescent="0.25">
      <c r="A138" s="11" t="s">
        <v>15</v>
      </c>
      <c r="B138" s="11" t="s">
        <v>38</v>
      </c>
    </row>
    <row r="139" spans="1:2" x14ac:dyDescent="0.25">
      <c r="A139" s="11" t="s">
        <v>122</v>
      </c>
      <c r="B139" s="11" t="s">
        <v>19</v>
      </c>
    </row>
    <row r="140" spans="1:2" x14ac:dyDescent="0.25">
      <c r="A140" s="11" t="s">
        <v>22</v>
      </c>
      <c r="B140" s="11" t="s">
        <v>19</v>
      </c>
    </row>
    <row r="142" spans="1:2" x14ac:dyDescent="0.25">
      <c r="A142" s="62" t="s">
        <v>209</v>
      </c>
      <c r="B142" s="62"/>
    </row>
    <row r="143" spans="1:2" x14ac:dyDescent="0.25">
      <c r="A143" s="62" t="s">
        <v>141</v>
      </c>
      <c r="B143" s="62"/>
    </row>
    <row r="144" spans="1:2" x14ac:dyDescent="0.25">
      <c r="A144" s="11" t="s">
        <v>122</v>
      </c>
      <c r="B144" s="11" t="s">
        <v>19</v>
      </c>
    </row>
    <row r="145" spans="1:2" x14ac:dyDescent="0.25">
      <c r="A145" s="11" t="s">
        <v>122</v>
      </c>
      <c r="B145" s="11" t="s">
        <v>19</v>
      </c>
    </row>
    <row r="146" spans="1:2" x14ac:dyDescent="0.25">
      <c r="A146" s="11" t="s">
        <v>122</v>
      </c>
      <c r="B146" s="11" t="s">
        <v>19</v>
      </c>
    </row>
    <row r="147" spans="1:2" x14ac:dyDescent="0.25">
      <c r="A147" s="11" t="s">
        <v>22</v>
      </c>
      <c r="B147" s="11" t="s">
        <v>19</v>
      </c>
    </row>
    <row r="148" spans="1:2" x14ac:dyDescent="0.25">
      <c r="A148" s="11" t="s">
        <v>16</v>
      </c>
      <c r="B148" s="11" t="s">
        <v>11</v>
      </c>
    </row>
    <row r="150" spans="1:2" x14ac:dyDescent="0.25">
      <c r="A150" s="62" t="s">
        <v>232</v>
      </c>
      <c r="B150" s="62"/>
    </row>
    <row r="151" spans="1:2" x14ac:dyDescent="0.25">
      <c r="A151" s="62" t="s">
        <v>141</v>
      </c>
      <c r="B151" s="62"/>
    </row>
    <row r="152" spans="1:2" x14ac:dyDescent="0.25">
      <c r="A152" s="11" t="s">
        <v>122</v>
      </c>
      <c r="B152" s="11" t="s">
        <v>19</v>
      </c>
    </row>
    <row r="153" spans="1:2" x14ac:dyDescent="0.25">
      <c r="A153" s="11" t="s">
        <v>122</v>
      </c>
      <c r="B153" s="11" t="s">
        <v>19</v>
      </c>
    </row>
    <row r="154" spans="1:2" x14ac:dyDescent="0.25">
      <c r="A154" s="11" t="s">
        <v>22</v>
      </c>
      <c r="B154" s="11" t="s">
        <v>19</v>
      </c>
    </row>
    <row r="155" spans="1:2" x14ac:dyDescent="0.25">
      <c r="A155" s="11" t="s">
        <v>15</v>
      </c>
      <c r="B155" s="11" t="s">
        <v>11</v>
      </c>
    </row>
    <row r="156" spans="1:2" x14ac:dyDescent="0.25">
      <c r="A156" s="11" t="s">
        <v>15</v>
      </c>
      <c r="B156" s="11" t="s">
        <v>19</v>
      </c>
    </row>
    <row r="158" spans="1:2" x14ac:dyDescent="0.25">
      <c r="A158" s="62" t="s">
        <v>4</v>
      </c>
      <c r="B158" s="62"/>
    </row>
    <row r="159" spans="1:2" x14ac:dyDescent="0.25">
      <c r="A159" s="62" t="s">
        <v>9</v>
      </c>
      <c r="B159" s="62"/>
    </row>
    <row r="161" spans="1:2" x14ac:dyDescent="0.25">
      <c r="A161" s="62" t="s">
        <v>4</v>
      </c>
      <c r="B161" s="62"/>
    </row>
    <row r="162" spans="1:2" x14ac:dyDescent="0.25">
      <c r="A162" s="62" t="s">
        <v>176</v>
      </c>
      <c r="B162" s="62"/>
    </row>
    <row r="164" spans="1:2" x14ac:dyDescent="0.25">
      <c r="A164" s="62" t="s">
        <v>4</v>
      </c>
      <c r="B164" s="62"/>
    </row>
    <row r="165" spans="1:2" x14ac:dyDescent="0.25">
      <c r="A165" s="62" t="s">
        <v>125</v>
      </c>
      <c r="B165" s="62"/>
    </row>
    <row r="167" spans="1:2" x14ac:dyDescent="0.25">
      <c r="A167" s="62" t="s">
        <v>253</v>
      </c>
      <c r="B167" s="62"/>
    </row>
    <row r="168" spans="1:2" x14ac:dyDescent="0.25">
      <c r="A168" s="62" t="s">
        <v>4</v>
      </c>
      <c r="B168" s="62"/>
    </row>
    <row r="169" spans="1:2" x14ac:dyDescent="0.25">
      <c r="A169" s="62" t="s">
        <v>9</v>
      </c>
      <c r="B169" s="62"/>
    </row>
    <row r="170" spans="1:2" x14ac:dyDescent="0.25">
      <c r="A170" s="11" t="s">
        <v>44</v>
      </c>
      <c r="B170" s="11" t="s">
        <v>11</v>
      </c>
    </row>
    <row r="171" spans="1:2" x14ac:dyDescent="0.25">
      <c r="A171" s="11" t="s">
        <v>45</v>
      </c>
      <c r="B171" s="11" t="s">
        <v>19</v>
      </c>
    </row>
    <row r="172" spans="1:2" x14ac:dyDescent="0.25">
      <c r="A172" s="11" t="s">
        <v>45</v>
      </c>
      <c r="B172" s="11" t="s">
        <v>11</v>
      </c>
    </row>
    <row r="173" spans="1:2" x14ac:dyDescent="0.25">
      <c r="A173" s="11" t="s">
        <v>41</v>
      </c>
      <c r="B173" s="11" t="s">
        <v>11</v>
      </c>
    </row>
    <row r="174" spans="1:2" x14ac:dyDescent="0.25">
      <c r="A174" s="11" t="s">
        <v>44</v>
      </c>
      <c r="B174" s="11" t="s">
        <v>38</v>
      </c>
    </row>
    <row r="175" spans="1:2" x14ac:dyDescent="0.25">
      <c r="A175" s="11" t="s">
        <v>45</v>
      </c>
      <c r="B175" s="11" t="s">
        <v>11</v>
      </c>
    </row>
    <row r="176" spans="1:2" x14ac:dyDescent="0.25">
      <c r="A176" s="11" t="s">
        <v>46</v>
      </c>
      <c r="B176" s="11" t="s">
        <v>11</v>
      </c>
    </row>
    <row r="177" spans="1:2" x14ac:dyDescent="0.25">
      <c r="A177" s="11" t="s">
        <v>41</v>
      </c>
      <c r="B177" s="11" t="s">
        <v>38</v>
      </c>
    </row>
    <row r="178" spans="1:2" x14ac:dyDescent="0.25">
      <c r="A178" s="11" t="s">
        <v>44</v>
      </c>
      <c r="B178" s="11" t="s">
        <v>11</v>
      </c>
    </row>
    <row r="179" spans="1:2" x14ac:dyDescent="0.25">
      <c r="A179" s="11" t="s">
        <v>47</v>
      </c>
      <c r="B179" s="11" t="s">
        <v>11</v>
      </c>
    </row>
    <row r="180" spans="1:2" x14ac:dyDescent="0.25">
      <c r="A180" s="11" t="s">
        <v>55</v>
      </c>
      <c r="B180" s="11" t="s">
        <v>19</v>
      </c>
    </row>
    <row r="181" spans="1:2" x14ac:dyDescent="0.25">
      <c r="A181" s="11" t="s">
        <v>57</v>
      </c>
      <c r="B181" s="11" t="s">
        <v>11</v>
      </c>
    </row>
    <row r="182" spans="1:2" x14ac:dyDescent="0.25">
      <c r="A182" s="11" t="s">
        <v>59</v>
      </c>
      <c r="B182" s="11" t="s">
        <v>11</v>
      </c>
    </row>
    <row r="183" spans="1:2" x14ac:dyDescent="0.25">
      <c r="A183" s="11" t="s">
        <v>42</v>
      </c>
      <c r="B183" s="11" t="s">
        <v>19</v>
      </c>
    </row>
    <row r="184" spans="1:2" x14ac:dyDescent="0.25">
      <c r="A184" s="11" t="s">
        <v>42</v>
      </c>
      <c r="B184" s="11" t="s">
        <v>11</v>
      </c>
    </row>
    <row r="185" spans="1:2" x14ac:dyDescent="0.25">
      <c r="A185" s="11" t="s">
        <v>41</v>
      </c>
      <c r="B185" s="11" t="s">
        <v>11</v>
      </c>
    </row>
    <row r="186" spans="1:2" x14ac:dyDescent="0.25">
      <c r="A186" s="11" t="s">
        <v>66</v>
      </c>
      <c r="B186" s="11" t="s">
        <v>11</v>
      </c>
    </row>
    <row r="187" spans="1:2" x14ac:dyDescent="0.25">
      <c r="A187" s="11" t="s">
        <v>55</v>
      </c>
      <c r="B187" s="11" t="s">
        <v>11</v>
      </c>
    </row>
    <row r="188" spans="1:2" x14ac:dyDescent="0.25">
      <c r="A188" s="11" t="s">
        <v>42</v>
      </c>
      <c r="B188" s="11" t="s">
        <v>11</v>
      </c>
    </row>
    <row r="189" spans="1:2" x14ac:dyDescent="0.25">
      <c r="A189" s="11" t="s">
        <v>42</v>
      </c>
      <c r="B189" s="11" t="s">
        <v>11</v>
      </c>
    </row>
    <row r="190" spans="1:2" x14ac:dyDescent="0.25">
      <c r="A190" s="11" t="s">
        <v>42</v>
      </c>
      <c r="B190" s="11" t="s">
        <v>11</v>
      </c>
    </row>
    <row r="191" spans="1:2" x14ac:dyDescent="0.25">
      <c r="A191" s="11" t="s">
        <v>43</v>
      </c>
      <c r="B191" s="11" t="s">
        <v>11</v>
      </c>
    </row>
    <row r="192" spans="1:2" x14ac:dyDescent="0.25">
      <c r="A192" s="11" t="s">
        <v>42</v>
      </c>
      <c r="B192" s="11" t="s">
        <v>11</v>
      </c>
    </row>
    <row r="193" spans="1:2" x14ac:dyDescent="0.25">
      <c r="A193" s="11" t="s">
        <v>32</v>
      </c>
      <c r="B193" s="11" t="s">
        <v>11</v>
      </c>
    </row>
    <row r="195" spans="1:2" x14ac:dyDescent="0.25">
      <c r="A195" s="62" t="s">
        <v>5</v>
      </c>
      <c r="B195" s="62"/>
    </row>
    <row r="196" spans="1:2" x14ac:dyDescent="0.25">
      <c r="A196" s="62" t="s">
        <v>9</v>
      </c>
      <c r="B196" s="62"/>
    </row>
    <row r="197" spans="1:2" x14ac:dyDescent="0.25">
      <c r="A197" s="11" t="s">
        <v>43</v>
      </c>
      <c r="B197" s="11" t="s">
        <v>19</v>
      </c>
    </row>
    <row r="198" spans="1:2" x14ac:dyDescent="0.25">
      <c r="A198" s="11" t="s">
        <v>43</v>
      </c>
      <c r="B198" s="11" t="s">
        <v>19</v>
      </c>
    </row>
    <row r="199" spans="1:2" x14ac:dyDescent="0.25">
      <c r="A199" s="11" t="s">
        <v>32</v>
      </c>
      <c r="B199" s="11" t="s">
        <v>11</v>
      </c>
    </row>
    <row r="200" spans="1:2" x14ac:dyDescent="0.25">
      <c r="A200" s="11" t="s">
        <v>43</v>
      </c>
      <c r="B200" s="11" t="s">
        <v>11</v>
      </c>
    </row>
    <row r="201" spans="1:2" x14ac:dyDescent="0.25">
      <c r="A201" s="11" t="s">
        <v>55</v>
      </c>
      <c r="B201" s="11" t="s">
        <v>11</v>
      </c>
    </row>
    <row r="202" spans="1:2" x14ac:dyDescent="0.25">
      <c r="A202" s="11" t="s">
        <v>43</v>
      </c>
      <c r="B202" s="11" t="s">
        <v>19</v>
      </c>
    </row>
    <row r="203" spans="1:2" x14ac:dyDescent="0.25">
      <c r="A203" s="11" t="s">
        <v>42</v>
      </c>
      <c r="B203" s="11" t="s">
        <v>19</v>
      </c>
    </row>
    <row r="204" spans="1:2" x14ac:dyDescent="0.25">
      <c r="A204" s="11" t="s">
        <v>43</v>
      </c>
      <c r="B204" s="11" t="s">
        <v>11</v>
      </c>
    </row>
    <row r="205" spans="1:2" x14ac:dyDescent="0.25">
      <c r="A205" s="11" t="s">
        <v>89</v>
      </c>
      <c r="B205" s="11" t="s">
        <v>19</v>
      </c>
    </row>
    <row r="206" spans="1:2" x14ac:dyDescent="0.25">
      <c r="A206" s="11" t="s">
        <v>43</v>
      </c>
      <c r="B206" s="11" t="s">
        <v>11</v>
      </c>
    </row>
    <row r="207" spans="1:2" x14ac:dyDescent="0.25">
      <c r="A207" s="11" t="s">
        <v>91</v>
      </c>
      <c r="B207" s="11" t="s">
        <v>11</v>
      </c>
    </row>
    <row r="208" spans="1:2" x14ac:dyDescent="0.25">
      <c r="A208" s="11" t="s">
        <v>42</v>
      </c>
      <c r="B208" s="11" t="s">
        <v>11</v>
      </c>
    </row>
    <row r="210" spans="1:2" x14ac:dyDescent="0.25">
      <c r="A210" s="62" t="s">
        <v>6</v>
      </c>
      <c r="B210" s="62"/>
    </row>
    <row r="211" spans="1:2" x14ac:dyDescent="0.25">
      <c r="A211" s="62" t="s">
        <v>97</v>
      </c>
      <c r="B211" s="62"/>
    </row>
    <row r="212" spans="1:2" x14ac:dyDescent="0.25">
      <c r="A212" s="11" t="s">
        <v>43</v>
      </c>
      <c r="B212" s="11" t="s">
        <v>11</v>
      </c>
    </row>
    <row r="213" spans="1:2" x14ac:dyDescent="0.25">
      <c r="A213" s="11" t="s">
        <v>43</v>
      </c>
      <c r="B213" s="11" t="s">
        <v>11</v>
      </c>
    </row>
    <row r="214" spans="1:2" x14ac:dyDescent="0.25">
      <c r="A214" s="11" t="s">
        <v>32</v>
      </c>
      <c r="B214" s="11" t="s">
        <v>11</v>
      </c>
    </row>
    <row r="216" spans="1:2" x14ac:dyDescent="0.25">
      <c r="A216" s="62" t="s">
        <v>7</v>
      </c>
      <c r="B216" s="62"/>
    </row>
    <row r="217" spans="1:2" x14ac:dyDescent="0.25">
      <c r="A217" s="62" t="s">
        <v>97</v>
      </c>
      <c r="B217" s="62"/>
    </row>
    <row r="218" spans="1:2" x14ac:dyDescent="0.25">
      <c r="A218" s="11" t="s">
        <v>43</v>
      </c>
      <c r="B218" s="11" t="s">
        <v>11</v>
      </c>
    </row>
    <row r="220" spans="1:2" x14ac:dyDescent="0.25">
      <c r="A220" s="62" t="s">
        <v>8</v>
      </c>
      <c r="B220" s="62"/>
    </row>
    <row r="221" spans="1:2" x14ac:dyDescent="0.25">
      <c r="A221" s="62" t="s">
        <v>141</v>
      </c>
      <c r="B221" s="62"/>
    </row>
    <row r="222" spans="1:2" x14ac:dyDescent="0.25">
      <c r="A222" s="11" t="s">
        <v>43</v>
      </c>
      <c r="B222" s="11" t="s">
        <v>11</v>
      </c>
    </row>
    <row r="224" spans="1:2" x14ac:dyDescent="0.25">
      <c r="A224" s="62" t="s">
        <v>124</v>
      </c>
      <c r="B224" s="62"/>
    </row>
    <row r="225" spans="1:2" x14ac:dyDescent="0.25">
      <c r="A225" s="62" t="s">
        <v>125</v>
      </c>
      <c r="B225" s="62"/>
    </row>
    <row r="226" spans="1:2" x14ac:dyDescent="0.25">
      <c r="A226" s="11" t="s">
        <v>14</v>
      </c>
      <c r="B226" s="11" t="s">
        <v>3</v>
      </c>
    </row>
    <row r="227" spans="1:2" x14ac:dyDescent="0.25">
      <c r="A227" s="11" t="s">
        <v>32</v>
      </c>
      <c r="B227" s="11" t="s">
        <v>11</v>
      </c>
    </row>
    <row r="228" spans="1:2" x14ac:dyDescent="0.25">
      <c r="A228" s="11" t="s">
        <v>43</v>
      </c>
      <c r="B228" s="11" t="s">
        <v>11</v>
      </c>
    </row>
    <row r="229" spans="1:2" x14ac:dyDescent="0.25">
      <c r="A229" s="11" t="s">
        <v>41</v>
      </c>
      <c r="B229" s="11" t="s">
        <v>19</v>
      </c>
    </row>
    <row r="230" spans="1:2" x14ac:dyDescent="0.25">
      <c r="A230" s="11" t="s">
        <v>43</v>
      </c>
      <c r="B230" s="11" t="s">
        <v>11</v>
      </c>
    </row>
    <row r="232" spans="1:2" x14ac:dyDescent="0.25">
      <c r="A232" s="62" t="s">
        <v>145</v>
      </c>
      <c r="B232" s="62"/>
    </row>
    <row r="233" spans="1:2" x14ac:dyDescent="0.25">
      <c r="A233" s="62" t="s">
        <v>141</v>
      </c>
      <c r="B233" s="62"/>
    </row>
    <row r="234" spans="1:2" x14ac:dyDescent="0.25">
      <c r="A234" s="11" t="s">
        <v>43</v>
      </c>
      <c r="B234" s="11" t="s">
        <v>19</v>
      </c>
    </row>
    <row r="235" spans="1:2" x14ac:dyDescent="0.25">
      <c r="A235" s="11" t="s">
        <v>122</v>
      </c>
      <c r="B235" s="11" t="s">
        <v>19</v>
      </c>
    </row>
    <row r="236" spans="1:2" x14ac:dyDescent="0.25">
      <c r="A236" s="11" t="s">
        <v>15</v>
      </c>
      <c r="B236" s="11" t="s">
        <v>11</v>
      </c>
    </row>
    <row r="237" spans="1:2" x14ac:dyDescent="0.25">
      <c r="A237" s="11" t="s">
        <v>155</v>
      </c>
      <c r="B237" s="11" t="s">
        <v>11</v>
      </c>
    </row>
    <row r="238" spans="1:2" x14ac:dyDescent="0.25">
      <c r="A238" s="11" t="s">
        <v>122</v>
      </c>
      <c r="B238" s="11" t="s">
        <v>19</v>
      </c>
    </row>
    <row r="239" spans="1:2" x14ac:dyDescent="0.25">
      <c r="A239" s="11" t="s">
        <v>244</v>
      </c>
      <c r="B239" s="11" t="s">
        <v>11</v>
      </c>
    </row>
    <row r="240" spans="1:2" x14ac:dyDescent="0.25">
      <c r="A240" s="11" t="s">
        <v>16</v>
      </c>
      <c r="B240" s="11" t="s">
        <v>11</v>
      </c>
    </row>
    <row r="241" spans="1:2" x14ac:dyDescent="0.25">
      <c r="A241" s="11" t="s">
        <v>122</v>
      </c>
      <c r="B241" s="11" t="s">
        <v>19</v>
      </c>
    </row>
    <row r="242" spans="1:2" x14ac:dyDescent="0.25">
      <c r="A242" s="11" t="s">
        <v>160</v>
      </c>
      <c r="B242" s="11" t="s">
        <v>19</v>
      </c>
    </row>
    <row r="243" spans="1:2" x14ac:dyDescent="0.25">
      <c r="A243" s="11" t="s">
        <v>160</v>
      </c>
      <c r="B243" s="11" t="s">
        <v>19</v>
      </c>
    </row>
    <row r="245" spans="1:2" x14ac:dyDescent="0.25">
      <c r="A245" s="62" t="s">
        <v>165</v>
      </c>
      <c r="B245" s="62"/>
    </row>
    <row r="246" spans="1:2" x14ac:dyDescent="0.25">
      <c r="A246" s="62" t="s">
        <v>141</v>
      </c>
      <c r="B246" s="62"/>
    </row>
    <row r="247" spans="1:2" x14ac:dyDescent="0.25">
      <c r="A247" s="11" t="s">
        <v>43</v>
      </c>
      <c r="B247" s="11" t="s">
        <v>19</v>
      </c>
    </row>
    <row r="248" spans="1:2" x14ac:dyDescent="0.25">
      <c r="A248" s="11" t="s">
        <v>173</v>
      </c>
      <c r="B248" s="11" t="s">
        <v>19</v>
      </c>
    </row>
    <row r="249" spans="1:2" x14ac:dyDescent="0.25">
      <c r="A249" s="11" t="s">
        <v>122</v>
      </c>
      <c r="B249" s="11" t="s">
        <v>11</v>
      </c>
    </row>
    <row r="251" spans="1:2" x14ac:dyDescent="0.25">
      <c r="A251" s="62" t="s">
        <v>175</v>
      </c>
      <c r="B251" s="62"/>
    </row>
    <row r="252" spans="1:2" x14ac:dyDescent="0.25">
      <c r="A252" s="62" t="s">
        <v>176</v>
      </c>
      <c r="B252" s="62"/>
    </row>
    <row r="253" spans="1:2" x14ac:dyDescent="0.25">
      <c r="A253" s="11" t="s">
        <v>41</v>
      </c>
      <c r="B253" s="11" t="s">
        <v>19</v>
      </c>
    </row>
    <row r="254" spans="1:2" x14ac:dyDescent="0.25">
      <c r="A254" s="11" t="s">
        <v>244</v>
      </c>
      <c r="B254" s="11" t="s">
        <v>11</v>
      </c>
    </row>
    <row r="256" spans="1:2" x14ac:dyDescent="0.25">
      <c r="A256" s="62" t="s">
        <v>190</v>
      </c>
      <c r="B256" s="62"/>
    </row>
    <row r="257" spans="1:2" x14ac:dyDescent="0.25">
      <c r="A257" s="62" t="s">
        <v>141</v>
      </c>
      <c r="B257" s="62"/>
    </row>
    <row r="258" spans="1:2" x14ac:dyDescent="0.25">
      <c r="A258" s="11" t="s">
        <v>122</v>
      </c>
      <c r="B258" s="11" t="s">
        <v>19</v>
      </c>
    </row>
    <row r="259" spans="1:2" x14ac:dyDescent="0.25">
      <c r="A259" s="11" t="s">
        <v>122</v>
      </c>
      <c r="B259" s="11" t="s">
        <v>19</v>
      </c>
    </row>
    <row r="260" spans="1:2" x14ac:dyDescent="0.25">
      <c r="A260" s="11" t="s">
        <v>122</v>
      </c>
      <c r="B260" s="11" t="s">
        <v>11</v>
      </c>
    </row>
    <row r="261" spans="1:2" x14ac:dyDescent="0.25">
      <c r="A261" s="11" t="s">
        <v>32</v>
      </c>
      <c r="B261" s="11" t="s">
        <v>11</v>
      </c>
    </row>
    <row r="262" spans="1:2" x14ac:dyDescent="0.25">
      <c r="A262" s="11" t="s">
        <v>122</v>
      </c>
      <c r="B262" s="11" t="s">
        <v>19</v>
      </c>
    </row>
    <row r="263" spans="1:2" x14ac:dyDescent="0.25">
      <c r="A263" s="11" t="s">
        <v>15</v>
      </c>
      <c r="B263" s="11" t="s">
        <v>11</v>
      </c>
    </row>
    <row r="264" spans="1:2" x14ac:dyDescent="0.25">
      <c r="A264" s="11" t="s">
        <v>244</v>
      </c>
      <c r="B264" s="11" t="s">
        <v>11</v>
      </c>
    </row>
    <row r="265" spans="1:2" x14ac:dyDescent="0.25">
      <c r="A265" s="11" t="s">
        <v>122</v>
      </c>
      <c r="B265" s="11" t="s">
        <v>19</v>
      </c>
    </row>
    <row r="266" spans="1:2" x14ac:dyDescent="0.25">
      <c r="A266" s="11" t="s">
        <v>122</v>
      </c>
      <c r="B266" s="11" t="s">
        <v>19</v>
      </c>
    </row>
    <row r="267" spans="1:2" x14ac:dyDescent="0.25">
      <c r="A267" s="11" t="s">
        <v>244</v>
      </c>
      <c r="B267" s="11" t="s">
        <v>11</v>
      </c>
    </row>
    <row r="268" spans="1:2" x14ac:dyDescent="0.25">
      <c r="A268" s="11" t="s">
        <v>122</v>
      </c>
      <c r="B268" s="11" t="s">
        <v>19</v>
      </c>
    </row>
    <row r="269" spans="1:2" x14ac:dyDescent="0.25">
      <c r="A269" s="11" t="s">
        <v>122</v>
      </c>
      <c r="B269" s="11" t="s">
        <v>19</v>
      </c>
    </row>
    <row r="270" spans="1:2" x14ac:dyDescent="0.25">
      <c r="A270" s="11" t="s">
        <v>122</v>
      </c>
      <c r="B270" s="11" t="s">
        <v>19</v>
      </c>
    </row>
    <row r="271" spans="1:2" x14ac:dyDescent="0.25">
      <c r="A271" s="11" t="s">
        <v>32</v>
      </c>
      <c r="B271" s="11" t="s">
        <v>11</v>
      </c>
    </row>
    <row r="273" spans="1:2" x14ac:dyDescent="0.25">
      <c r="A273" s="62" t="s">
        <v>203</v>
      </c>
      <c r="B273" s="62"/>
    </row>
    <row r="274" spans="1:2" x14ac:dyDescent="0.25">
      <c r="A274" s="62" t="s">
        <v>226</v>
      </c>
      <c r="B274" s="62"/>
    </row>
    <row r="275" spans="1:2" x14ac:dyDescent="0.25">
      <c r="A275" s="11" t="s">
        <v>43</v>
      </c>
      <c r="B275" s="11" t="s">
        <v>11</v>
      </c>
    </row>
    <row r="276" spans="1:2" x14ac:dyDescent="0.25">
      <c r="A276" s="11" t="s">
        <v>122</v>
      </c>
      <c r="B276" s="11" t="s">
        <v>19</v>
      </c>
    </row>
    <row r="277" spans="1:2" x14ac:dyDescent="0.25">
      <c r="A277" s="11" t="s">
        <v>155</v>
      </c>
      <c r="B277" s="11" t="s">
        <v>11</v>
      </c>
    </row>
    <row r="278" spans="1:2" x14ac:dyDescent="0.25">
      <c r="A278" s="11" t="s">
        <v>237</v>
      </c>
      <c r="B278" s="11" t="s">
        <v>19</v>
      </c>
    </row>
    <row r="279" spans="1:2" x14ac:dyDescent="0.25">
      <c r="A279" s="11" t="s">
        <v>43</v>
      </c>
      <c r="B279" s="11" t="s">
        <v>11</v>
      </c>
    </row>
    <row r="280" spans="1:2" x14ac:dyDescent="0.25">
      <c r="A280" s="11" t="s">
        <v>244</v>
      </c>
      <c r="B280" s="11" t="s">
        <v>11</v>
      </c>
    </row>
    <row r="282" spans="1:2" x14ac:dyDescent="0.25">
      <c r="A282" s="62" t="s">
        <v>240</v>
      </c>
      <c r="B282" s="62"/>
    </row>
    <row r="283" spans="1:2" x14ac:dyDescent="0.25">
      <c r="A283" s="62" t="s">
        <v>226</v>
      </c>
      <c r="B283" s="62"/>
    </row>
    <row r="284" spans="1:2" x14ac:dyDescent="0.25">
      <c r="A284" s="11" t="s">
        <v>43</v>
      </c>
      <c r="B284" s="11" t="s">
        <v>11</v>
      </c>
    </row>
    <row r="285" spans="1:2" x14ac:dyDescent="0.25">
      <c r="A285" s="11" t="s">
        <v>244</v>
      </c>
    </row>
    <row r="287" spans="1:2" x14ac:dyDescent="0.25">
      <c r="A287" s="62" t="s">
        <v>204</v>
      </c>
      <c r="B287" s="62"/>
    </row>
    <row r="288" spans="1:2" x14ac:dyDescent="0.25">
      <c r="A288" s="62" t="s">
        <v>141</v>
      </c>
      <c r="B288" s="62"/>
    </row>
    <row r="289" spans="1:2" x14ac:dyDescent="0.25">
      <c r="A289" s="11" t="s">
        <v>32</v>
      </c>
      <c r="B289" s="11" t="s">
        <v>11</v>
      </c>
    </row>
    <row r="290" spans="1:2" x14ac:dyDescent="0.25">
      <c r="A290" s="11" t="s">
        <v>122</v>
      </c>
      <c r="B290" s="11" t="s">
        <v>19</v>
      </c>
    </row>
    <row r="292" spans="1:2" x14ac:dyDescent="0.25">
      <c r="A292" s="62" t="s">
        <v>209</v>
      </c>
      <c r="B292" s="62"/>
    </row>
    <row r="293" spans="1:2" x14ac:dyDescent="0.25">
      <c r="A293" s="62" t="s">
        <v>141</v>
      </c>
      <c r="B293" s="62"/>
    </row>
    <row r="294" spans="1:2" x14ac:dyDescent="0.25">
      <c r="A294" s="11" t="s">
        <v>32</v>
      </c>
      <c r="B294" s="11" t="s">
        <v>11</v>
      </c>
    </row>
    <row r="295" spans="1:2" x14ac:dyDescent="0.25">
      <c r="A295" s="11" t="s">
        <v>15</v>
      </c>
      <c r="B295" s="11" t="s">
        <v>19</v>
      </c>
    </row>
    <row r="296" spans="1:2" x14ac:dyDescent="0.25">
      <c r="A296" s="11" t="s">
        <v>155</v>
      </c>
      <c r="B296" s="11" t="s">
        <v>11</v>
      </c>
    </row>
    <row r="297" spans="1:2" x14ac:dyDescent="0.25">
      <c r="A297" s="11" t="s">
        <v>155</v>
      </c>
      <c r="B297" s="11" t="s">
        <v>11</v>
      </c>
    </row>
    <row r="298" spans="1:2" x14ac:dyDescent="0.25">
      <c r="A298" s="11" t="s">
        <v>155</v>
      </c>
      <c r="B298" s="11" t="s">
        <v>11</v>
      </c>
    </row>
    <row r="299" spans="1:2" x14ac:dyDescent="0.25">
      <c r="A299" s="11" t="s">
        <v>32</v>
      </c>
      <c r="B299" s="11" t="s">
        <v>11</v>
      </c>
    </row>
    <row r="300" spans="1:2" x14ac:dyDescent="0.25">
      <c r="A300" s="11" t="s">
        <v>160</v>
      </c>
      <c r="B300" s="11" t="s">
        <v>19</v>
      </c>
    </row>
    <row r="301" spans="1:2" x14ac:dyDescent="0.25">
      <c r="A301" s="11" t="s">
        <v>55</v>
      </c>
      <c r="B301" s="11" t="s">
        <v>19</v>
      </c>
    </row>
    <row r="303" spans="1:2" x14ac:dyDescent="0.25">
      <c r="A303" s="62" t="s">
        <v>232</v>
      </c>
      <c r="B303" s="62"/>
    </row>
    <row r="304" spans="1:2" x14ac:dyDescent="0.25">
      <c r="A304" s="62" t="s">
        <v>141</v>
      </c>
      <c r="B304" s="62"/>
    </row>
    <row r="305" spans="1:2" x14ac:dyDescent="0.25">
      <c r="A305" s="11" t="s">
        <v>43</v>
      </c>
      <c r="B305" s="11" t="s">
        <v>19</v>
      </c>
    </row>
    <row r="306" spans="1:2" x14ac:dyDescent="0.25">
      <c r="A306" s="11" t="s">
        <v>122</v>
      </c>
      <c r="B306" s="11" t="s">
        <v>11</v>
      </c>
    </row>
    <row r="307" spans="1:2" x14ac:dyDescent="0.25">
      <c r="A307" s="11" t="s">
        <v>250</v>
      </c>
      <c r="B307" s="11" t="s">
        <v>19</v>
      </c>
    </row>
    <row r="309" spans="1:2" x14ac:dyDescent="0.25">
      <c r="A309" s="62" t="s">
        <v>4</v>
      </c>
      <c r="B309" s="62"/>
    </row>
    <row r="310" spans="1:2" x14ac:dyDescent="0.25">
      <c r="A310" s="62" t="s">
        <v>9</v>
      </c>
      <c r="B310" s="62"/>
    </row>
    <row r="312" spans="1:2" x14ac:dyDescent="0.25">
      <c r="A312" s="62" t="s">
        <v>4</v>
      </c>
      <c r="B312" s="62"/>
    </row>
    <row r="313" spans="1:2" x14ac:dyDescent="0.25">
      <c r="A313" s="62" t="s">
        <v>176</v>
      </c>
      <c r="B313" s="62"/>
    </row>
    <row r="315" spans="1:2" x14ac:dyDescent="0.25">
      <c r="A315" s="62" t="s">
        <v>4</v>
      </c>
      <c r="B315" s="62"/>
    </row>
    <row r="316" spans="1:2" x14ac:dyDescent="0.25">
      <c r="A316" s="62" t="s">
        <v>125</v>
      </c>
      <c r="B316" s="62"/>
    </row>
  </sheetData>
  <mergeCells count="91">
    <mergeCell ref="H1:Q1"/>
    <mergeCell ref="R1:AK1"/>
    <mergeCell ref="A313:B313"/>
    <mergeCell ref="A315:B315"/>
    <mergeCell ref="A316:B316"/>
    <mergeCell ref="A293:B293"/>
    <mergeCell ref="A303:B303"/>
    <mergeCell ref="A304:B304"/>
    <mergeCell ref="A309:B309"/>
    <mergeCell ref="A310:B310"/>
    <mergeCell ref="A283:B283"/>
    <mergeCell ref="A287:B287"/>
    <mergeCell ref="A288:B288"/>
    <mergeCell ref="A292:B292"/>
    <mergeCell ref="A312:B312"/>
    <mergeCell ref="A256:B256"/>
    <mergeCell ref="A257:B257"/>
    <mergeCell ref="A273:B273"/>
    <mergeCell ref="A274:B274"/>
    <mergeCell ref="A282:B282"/>
    <mergeCell ref="A233:B233"/>
    <mergeCell ref="A245:B245"/>
    <mergeCell ref="A246:B246"/>
    <mergeCell ref="A251:B251"/>
    <mergeCell ref="A252:B252"/>
    <mergeCell ref="A220:B220"/>
    <mergeCell ref="A221:B221"/>
    <mergeCell ref="A224:B224"/>
    <mergeCell ref="A225:B225"/>
    <mergeCell ref="A232:B232"/>
    <mergeCell ref="A196:B196"/>
    <mergeCell ref="A210:B210"/>
    <mergeCell ref="A211:B211"/>
    <mergeCell ref="A216:B216"/>
    <mergeCell ref="A217:B217"/>
    <mergeCell ref="A46:B46"/>
    <mergeCell ref="A47:B47"/>
    <mergeCell ref="A56:B56"/>
    <mergeCell ref="A57:B57"/>
    <mergeCell ref="A195:B195"/>
    <mergeCell ref="A143:B143"/>
    <mergeCell ref="A109:B109"/>
    <mergeCell ref="A110:B110"/>
    <mergeCell ref="A115:B115"/>
    <mergeCell ref="A116:B116"/>
    <mergeCell ref="A123:B123"/>
    <mergeCell ref="A132:B132"/>
    <mergeCell ref="A133:B133"/>
    <mergeCell ref="A136:B136"/>
    <mergeCell ref="A137:B137"/>
    <mergeCell ref="A142:B142"/>
    <mergeCell ref="A124:B124"/>
    <mergeCell ref="A168:B168"/>
    <mergeCell ref="A169:B169"/>
    <mergeCell ref="A150:B150"/>
    <mergeCell ref="A165:B165"/>
    <mergeCell ref="A151:B151"/>
    <mergeCell ref="A158:B158"/>
    <mergeCell ref="A159:B159"/>
    <mergeCell ref="A161:B161"/>
    <mergeCell ref="A162:B162"/>
    <mergeCell ref="A164:B164"/>
    <mergeCell ref="A167:B167"/>
    <mergeCell ref="A31:B31"/>
    <mergeCell ref="A33:B33"/>
    <mergeCell ref="P2:Q2"/>
    <mergeCell ref="J2:K2"/>
    <mergeCell ref="L2:M2"/>
    <mergeCell ref="N2:O2"/>
    <mergeCell ref="H2:I2"/>
    <mergeCell ref="A32:B32"/>
    <mergeCell ref="A89:B89"/>
    <mergeCell ref="A90:B90"/>
    <mergeCell ref="A101:B101"/>
    <mergeCell ref="A102:B102"/>
    <mergeCell ref="A64:B64"/>
    <mergeCell ref="A65:B65"/>
    <mergeCell ref="A74:B74"/>
    <mergeCell ref="A79:B79"/>
    <mergeCell ref="A75:B75"/>
    <mergeCell ref="A78:B78"/>
    <mergeCell ref="R2:S2"/>
    <mergeCell ref="AD2:AE2"/>
    <mergeCell ref="AF2:AG2"/>
    <mergeCell ref="AH2:AI2"/>
    <mergeCell ref="AJ2:AK2"/>
    <mergeCell ref="T2:U2"/>
    <mergeCell ref="V2:W2"/>
    <mergeCell ref="X2:Y2"/>
    <mergeCell ref="Z2:AA2"/>
    <mergeCell ref="AB2:AC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Tables_Click">
                <anchor moveWithCells="1" sizeWithCells="1">
                  <from>
                    <xdr:col>0</xdr:col>
                    <xdr:colOff>19050</xdr:colOff>
                    <xdr:row>27</xdr:row>
                    <xdr:rowOff>9525</xdr:rowOff>
                  </from>
                  <to>
                    <xdr:col>1</xdr:col>
                    <xdr:colOff>1133475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4"/>
  <sheetViews>
    <sheetView workbookViewId="0">
      <selection activeCell="F16" sqref="F16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4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9</v>
      </c>
      <c r="C2" s="3"/>
      <c r="F2" s="1" t="str">
        <f>IF(ISBLANK(Overall!A3),"",Overall!A3)</f>
        <v>*Context*</v>
      </c>
      <c r="G2" s="11">
        <f>COUNTIFS($B$6:$B$18,$F2,$C$6:$C$18,G$1)</f>
        <v>4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4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1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2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0</v>
      </c>
      <c r="I4" s="11">
        <f t="shared" si="1"/>
        <v>0</v>
      </c>
      <c r="J4" s="11">
        <f t="shared" si="2"/>
        <v>0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2</v>
      </c>
      <c r="H5" s="11">
        <f t="shared" si="1"/>
        <v>0</v>
      </c>
      <c r="I5" s="11">
        <f t="shared" si="1"/>
        <v>0</v>
      </c>
      <c r="J5" s="11">
        <f t="shared" si="2"/>
        <v>2</v>
      </c>
    </row>
    <row r="6" spans="1:10" ht="30" x14ac:dyDescent="0.25">
      <c r="A6" s="5" t="s">
        <v>10</v>
      </c>
      <c r="B6" s="5" t="s">
        <v>15</v>
      </c>
      <c r="C6" s="5" t="s">
        <v>11</v>
      </c>
    </row>
    <row r="7" spans="1:10" x14ac:dyDescent="0.25">
      <c r="A7" s="5" t="s">
        <v>12</v>
      </c>
      <c r="B7" s="5" t="s">
        <v>15</v>
      </c>
      <c r="C7" s="5" t="s">
        <v>11</v>
      </c>
    </row>
    <row r="8" spans="1:10" x14ac:dyDescent="0.25">
      <c r="A8" s="5" t="s">
        <v>13</v>
      </c>
      <c r="B8" s="5" t="s">
        <v>16</v>
      </c>
      <c r="C8" s="5" t="s">
        <v>11</v>
      </c>
    </row>
    <row r="9" spans="1:10" x14ac:dyDescent="0.25">
      <c r="A9" s="5" t="s">
        <v>17</v>
      </c>
      <c r="B9" s="5" t="s">
        <v>16</v>
      </c>
      <c r="C9" s="5" t="s">
        <v>11</v>
      </c>
    </row>
    <row r="10" spans="1:10" x14ac:dyDescent="0.25">
      <c r="A10" s="5" t="s">
        <v>18</v>
      </c>
      <c r="B10" s="5" t="s">
        <v>20</v>
      </c>
      <c r="C10" s="5" t="s">
        <v>19</v>
      </c>
    </row>
    <row r="11" spans="1:10" x14ac:dyDescent="0.25">
      <c r="A11" s="5" t="s">
        <v>21</v>
      </c>
      <c r="B11" s="5" t="s">
        <v>20</v>
      </c>
      <c r="C11" s="5" t="s">
        <v>19</v>
      </c>
    </row>
    <row r="12" spans="1:10" x14ac:dyDescent="0.25">
      <c r="A12" s="5" t="s">
        <v>23</v>
      </c>
      <c r="B12" s="5" t="s">
        <v>22</v>
      </c>
      <c r="C12" s="5" t="s">
        <v>19</v>
      </c>
    </row>
    <row r="13" spans="1:10" x14ac:dyDescent="0.25">
      <c r="A13" s="5" t="s">
        <v>24</v>
      </c>
      <c r="B13" s="5" t="s">
        <v>25</v>
      </c>
      <c r="C13" s="5" t="s">
        <v>11</v>
      </c>
    </row>
    <row r="14" spans="1:10" x14ac:dyDescent="0.25">
      <c r="A14" s="5" t="s">
        <v>26</v>
      </c>
      <c r="B14" s="5" t="s">
        <v>15</v>
      </c>
      <c r="C14" s="5" t="s">
        <v>11</v>
      </c>
    </row>
    <row r="15" spans="1:10" ht="30" x14ac:dyDescent="0.25">
      <c r="A15" s="5" t="s">
        <v>27</v>
      </c>
      <c r="B15" s="5" t="s">
        <v>22</v>
      </c>
      <c r="C15" s="5" t="s">
        <v>11</v>
      </c>
    </row>
    <row r="16" spans="1:10" ht="30" x14ac:dyDescent="0.25">
      <c r="A16" s="5" t="s">
        <v>39</v>
      </c>
      <c r="B16" s="5" t="s">
        <v>15</v>
      </c>
      <c r="C16" s="5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4</v>
      </c>
      <c r="H20" s="11">
        <f t="shared" ref="H20:I29" si="3">COUNTIFS($B$21:$B$222,$F20,$C$21:$C$222,H$19)</f>
        <v>0</v>
      </c>
      <c r="I20" s="11">
        <f t="shared" si="3"/>
        <v>1</v>
      </c>
      <c r="J20" s="11">
        <f>COUNTIFS($B$21:$B$222,$F20)</f>
        <v>5</v>
      </c>
    </row>
    <row r="21" spans="1:10" x14ac:dyDescent="0.25">
      <c r="A21" s="5" t="s">
        <v>28</v>
      </c>
      <c r="B21" s="5" t="s">
        <v>44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ht="30" x14ac:dyDescent="0.25">
      <c r="A22" s="5" t="s">
        <v>30</v>
      </c>
      <c r="B22" s="5" t="s">
        <v>45</v>
      </c>
      <c r="C22" s="5" t="s">
        <v>19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ht="30" x14ac:dyDescent="0.25">
      <c r="A23" s="5" t="s">
        <v>31</v>
      </c>
      <c r="B23" s="5" t="s">
        <v>45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5" t="s">
        <v>33</v>
      </c>
      <c r="B24" s="5" t="s">
        <v>41</v>
      </c>
      <c r="C24" s="5" t="s">
        <v>11</v>
      </c>
      <c r="F24" s="1" t="str">
        <f>IF(ISBLANK(Overall!B7),"",Overall!B7)</f>
        <v>*Recognition*</v>
      </c>
      <c r="G24" s="11">
        <f t="shared" si="4"/>
        <v>6</v>
      </c>
      <c r="H24" s="11">
        <f t="shared" si="3"/>
        <v>1</v>
      </c>
      <c r="I24" s="11">
        <f t="shared" si="3"/>
        <v>1</v>
      </c>
      <c r="J24" s="11">
        <f t="shared" si="5"/>
        <v>8</v>
      </c>
    </row>
    <row r="25" spans="1:10" x14ac:dyDescent="0.25">
      <c r="A25" s="5" t="s">
        <v>34</v>
      </c>
      <c r="B25" s="5" t="s">
        <v>44</v>
      </c>
      <c r="C25" s="5" t="s">
        <v>38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ht="30" x14ac:dyDescent="0.25">
      <c r="A26" s="5" t="s">
        <v>35</v>
      </c>
      <c r="B26" s="5" t="s">
        <v>45</v>
      </c>
      <c r="C26" s="5" t="s">
        <v>11</v>
      </c>
      <c r="F26" s="1" t="str">
        <f>IF(ISBLANK(Overall!B9),"",Overall!B9)</f>
        <v>*Association*</v>
      </c>
      <c r="G26" s="11">
        <f t="shared" si="4"/>
        <v>11</v>
      </c>
      <c r="H26" s="11">
        <f t="shared" si="3"/>
        <v>2</v>
      </c>
      <c r="I26" s="11">
        <f t="shared" si="3"/>
        <v>1</v>
      </c>
      <c r="J26" s="11">
        <f t="shared" si="5"/>
        <v>14</v>
      </c>
    </row>
    <row r="27" spans="1:10" x14ac:dyDescent="0.25">
      <c r="A27" s="5" t="s">
        <v>36</v>
      </c>
      <c r="B27" s="5" t="s">
        <v>46</v>
      </c>
      <c r="C27" s="5" t="s">
        <v>11</v>
      </c>
      <c r="F27" s="1" t="str">
        <f>IF(ISBLANK(Overall!B10),"",Overall!B10)</f>
        <v>*Action Planning*</v>
      </c>
      <c r="G27" s="11">
        <f t="shared" si="4"/>
        <v>4</v>
      </c>
      <c r="H27" s="11">
        <f t="shared" si="3"/>
        <v>1</v>
      </c>
      <c r="I27" s="11">
        <f t="shared" si="3"/>
        <v>0</v>
      </c>
      <c r="J27" s="11">
        <f t="shared" si="5"/>
        <v>5</v>
      </c>
    </row>
    <row r="28" spans="1:10" x14ac:dyDescent="0.25">
      <c r="A28" s="5" t="s">
        <v>37</v>
      </c>
      <c r="B28" s="5" t="s">
        <v>41</v>
      </c>
      <c r="C28" s="5" t="s">
        <v>38</v>
      </c>
      <c r="F28" s="1" t="str">
        <f>IF(ISBLANK(Overall!B11),"",Overall!B11)</f>
        <v>*Confidence*</v>
      </c>
      <c r="G28" s="11">
        <f t="shared" si="4"/>
        <v>6</v>
      </c>
      <c r="H28" s="11">
        <f t="shared" si="3"/>
        <v>1</v>
      </c>
      <c r="I28" s="11">
        <f t="shared" si="3"/>
        <v>0</v>
      </c>
      <c r="J28" s="11">
        <f t="shared" si="5"/>
        <v>7</v>
      </c>
    </row>
    <row r="29" spans="1:10" x14ac:dyDescent="0.25">
      <c r="A29" s="5" t="s">
        <v>93</v>
      </c>
      <c r="B29" s="5" t="s">
        <v>44</v>
      </c>
      <c r="C29" s="5" t="s">
        <v>11</v>
      </c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ht="30" x14ac:dyDescent="0.25">
      <c r="A30" s="5" t="s">
        <v>40</v>
      </c>
      <c r="B30" s="5" t="s">
        <v>47</v>
      </c>
      <c r="C30" s="5" t="s">
        <v>11</v>
      </c>
    </row>
    <row r="31" spans="1:10" x14ac:dyDescent="0.25">
      <c r="A31" s="5" t="s">
        <v>54</v>
      </c>
      <c r="B31" s="5" t="s">
        <v>55</v>
      </c>
      <c r="C31" s="5" t="s">
        <v>19</v>
      </c>
      <c r="F31" s="1" t="str">
        <f>IF(ISBLANK(Overall!B14),"",Overall!B14)</f>
        <v/>
      </c>
    </row>
    <row r="32" spans="1:10" x14ac:dyDescent="0.25">
      <c r="A32" s="5" t="s">
        <v>56</v>
      </c>
      <c r="B32" s="5" t="s">
        <v>57</v>
      </c>
      <c r="C32" s="5" t="s">
        <v>11</v>
      </c>
      <c r="F32" s="1" t="str">
        <f>IF(ISBLANK(Overall!B15),"",Overall!B15)</f>
        <v/>
      </c>
    </row>
    <row r="33" spans="1:3" ht="30" x14ac:dyDescent="0.25">
      <c r="A33" s="5" t="s">
        <v>58</v>
      </c>
      <c r="B33" s="5" t="s">
        <v>59</v>
      </c>
      <c r="C33" s="5" t="s">
        <v>11</v>
      </c>
    </row>
    <row r="34" spans="1:3" x14ac:dyDescent="0.25">
      <c r="A34" s="5" t="s">
        <v>61</v>
      </c>
      <c r="B34" s="5" t="s">
        <v>42</v>
      </c>
      <c r="C34" s="5" t="s">
        <v>19</v>
      </c>
    </row>
    <row r="35" spans="1:3" x14ac:dyDescent="0.25">
      <c r="A35" s="5" t="s">
        <v>64</v>
      </c>
      <c r="B35" s="5" t="s">
        <v>42</v>
      </c>
      <c r="C35" s="5" t="s">
        <v>11</v>
      </c>
    </row>
    <row r="36" spans="1:3" x14ac:dyDescent="0.25">
      <c r="A36" s="5" t="s">
        <v>94</v>
      </c>
      <c r="B36" s="5" t="s">
        <v>41</v>
      </c>
      <c r="C36" s="5" t="s">
        <v>11</v>
      </c>
    </row>
    <row r="37" spans="1:3" ht="30" x14ac:dyDescent="0.25">
      <c r="A37" s="5" t="s">
        <v>65</v>
      </c>
      <c r="B37" s="5" t="s">
        <v>66</v>
      </c>
      <c r="C37" s="5" t="s">
        <v>11</v>
      </c>
    </row>
    <row r="38" spans="1:3" ht="30" x14ac:dyDescent="0.25">
      <c r="A38" s="5" t="s">
        <v>67</v>
      </c>
      <c r="B38" s="5" t="s">
        <v>55</v>
      </c>
      <c r="C38" s="5" t="s">
        <v>11</v>
      </c>
    </row>
    <row r="39" spans="1:3" x14ac:dyDescent="0.25">
      <c r="A39" s="5" t="s">
        <v>68</v>
      </c>
      <c r="B39" s="5" t="s">
        <v>42</v>
      </c>
      <c r="C39" s="5" t="s">
        <v>11</v>
      </c>
    </row>
    <row r="40" spans="1:3" x14ac:dyDescent="0.25">
      <c r="A40" s="5" t="s">
        <v>69</v>
      </c>
      <c r="B40" s="5" t="s">
        <v>42</v>
      </c>
      <c r="C40" s="5" t="s">
        <v>11</v>
      </c>
    </row>
    <row r="41" spans="1:3" x14ac:dyDescent="0.25">
      <c r="A41" s="5" t="s">
        <v>70</v>
      </c>
      <c r="B41" s="5" t="s">
        <v>42</v>
      </c>
      <c r="C41" s="5" t="s">
        <v>11</v>
      </c>
    </row>
    <row r="42" spans="1:3" x14ac:dyDescent="0.25">
      <c r="A42" s="5" t="s">
        <v>71</v>
      </c>
      <c r="B42" s="5" t="s">
        <v>43</v>
      </c>
      <c r="C42" s="5" t="s">
        <v>11</v>
      </c>
    </row>
    <row r="43" spans="1:3" x14ac:dyDescent="0.25">
      <c r="A43" s="5" t="s">
        <v>95</v>
      </c>
      <c r="B43" s="5" t="s">
        <v>42</v>
      </c>
      <c r="C43" s="5" t="s">
        <v>11</v>
      </c>
    </row>
    <row r="44" spans="1:3" x14ac:dyDescent="0.25">
      <c r="A44" s="5" t="s">
        <v>72</v>
      </c>
      <c r="B44" s="5" t="s">
        <v>32</v>
      </c>
      <c r="C44" s="5" t="s">
        <v>11</v>
      </c>
    </row>
  </sheetData>
  <mergeCells count="2">
    <mergeCell ref="A19:C19"/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3"/>
  <sheetViews>
    <sheetView workbookViewId="0">
      <selection activeCell="A30" sqref="A30"/>
    </sheetView>
  </sheetViews>
  <sheetFormatPr defaultRowHeight="15" x14ac:dyDescent="0.25"/>
  <cols>
    <col min="1" max="1" width="106.85546875" style="8" customWidth="1"/>
    <col min="2" max="2" width="26.42578125" style="8" customWidth="1"/>
    <col min="3" max="3" width="9" style="8" bestFit="1" customWidth="1"/>
    <col min="4" max="4" width="15.5703125" style="6" customWidth="1"/>
    <col min="5" max="5" width="9.140625" style="7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style="7" bestFit="1" customWidth="1"/>
    <col min="12" max="16384" width="9.140625" style="7"/>
  </cols>
  <sheetData>
    <row r="1" spans="1:10" s="1" customFormat="1" x14ac:dyDescent="0.25">
      <c r="A1" s="3" t="s">
        <v>0</v>
      </c>
      <c r="B1" s="10" t="s">
        <v>5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9</v>
      </c>
      <c r="C2" s="3"/>
      <c r="F2" s="1" t="str">
        <f>IF(ISBLANK(Overall!A3),"",Overall!A3)</f>
        <v>*Context*</v>
      </c>
      <c r="G2" s="11">
        <f>COUNTIFS($B$6:$B$18,$F2,$C$6:$C$18,G$1)</f>
        <v>4</v>
      </c>
      <c r="H2" s="11">
        <f t="shared" ref="H2:I2" si="0">COUNTIFS($B$6:$B$18,$F2,$C$6:$C$18,H$1)</f>
        <v>0</v>
      </c>
      <c r="I2" s="11">
        <f t="shared" si="0"/>
        <v>2</v>
      </c>
      <c r="J2" s="11">
        <f>COUNTIFS($B$6:$B$18,$F2)</f>
        <v>6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0</v>
      </c>
      <c r="I4" s="11">
        <f t="shared" si="1"/>
        <v>0</v>
      </c>
      <c r="J4" s="11">
        <f t="shared" si="2"/>
        <v>0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8" t="s">
        <v>73</v>
      </c>
      <c r="B6" s="8" t="s">
        <v>15</v>
      </c>
      <c r="C6" s="8" t="s">
        <v>38</v>
      </c>
    </row>
    <row r="7" spans="1:10" x14ac:dyDescent="0.25">
      <c r="A7" s="8" t="s">
        <v>74</v>
      </c>
      <c r="B7" s="8" t="s">
        <v>15</v>
      </c>
      <c r="C7" s="8" t="s">
        <v>11</v>
      </c>
    </row>
    <row r="8" spans="1:10" x14ac:dyDescent="0.25">
      <c r="A8" s="9" t="s">
        <v>75</v>
      </c>
      <c r="B8" s="9" t="s">
        <v>15</v>
      </c>
      <c r="C8" s="9" t="s">
        <v>38</v>
      </c>
    </row>
    <row r="9" spans="1:10" x14ac:dyDescent="0.25">
      <c r="A9" s="9" t="s">
        <v>76</v>
      </c>
      <c r="B9" s="9" t="s">
        <v>15</v>
      </c>
      <c r="C9" s="9" t="s">
        <v>11</v>
      </c>
    </row>
    <row r="10" spans="1:10" x14ac:dyDescent="0.25">
      <c r="A10" s="9" t="s">
        <v>77</v>
      </c>
      <c r="B10" s="9" t="s">
        <v>15</v>
      </c>
      <c r="C10" s="9" t="s">
        <v>11</v>
      </c>
    </row>
    <row r="11" spans="1:10" x14ac:dyDescent="0.25">
      <c r="A11" s="9" t="s">
        <v>78</v>
      </c>
      <c r="B11" s="9" t="s">
        <v>22</v>
      </c>
      <c r="C11" s="9" t="s">
        <v>19</v>
      </c>
    </row>
    <row r="12" spans="1:10" x14ac:dyDescent="0.25">
      <c r="A12" s="9" t="s">
        <v>79</v>
      </c>
      <c r="B12" s="9" t="s">
        <v>15</v>
      </c>
      <c r="C12" s="9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1</v>
      </c>
      <c r="I20" s="11">
        <f t="shared" si="3"/>
        <v>0</v>
      </c>
      <c r="J20" s="11">
        <f>COUNTIFS($B$21:$B$222,$F20)</f>
        <v>1</v>
      </c>
    </row>
    <row r="21" spans="1:10" x14ac:dyDescent="0.25">
      <c r="A21" s="9" t="s">
        <v>80</v>
      </c>
      <c r="B21" s="9" t="s">
        <v>43</v>
      </c>
      <c r="C21" s="9" t="s">
        <v>19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9" t="s">
        <v>81</v>
      </c>
      <c r="B22" s="9" t="s">
        <v>43</v>
      </c>
      <c r="C22" s="9" t="s">
        <v>19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A23" s="9" t="s">
        <v>82</v>
      </c>
      <c r="B23" s="9" t="s">
        <v>32</v>
      </c>
      <c r="C23" s="9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9" t="s">
        <v>83</v>
      </c>
      <c r="B24" s="9" t="s">
        <v>43</v>
      </c>
      <c r="C24" s="9" t="s">
        <v>11</v>
      </c>
      <c r="F24" s="1" t="str">
        <f>IF(ISBLANK(Overall!B7),"",Overall!B7)</f>
        <v>*Recognition*</v>
      </c>
      <c r="G24" s="11">
        <f t="shared" si="4"/>
        <v>1</v>
      </c>
      <c r="H24" s="11">
        <f t="shared" si="3"/>
        <v>0</v>
      </c>
      <c r="I24" s="11">
        <f t="shared" si="3"/>
        <v>0</v>
      </c>
      <c r="J24" s="11">
        <f t="shared" si="5"/>
        <v>1</v>
      </c>
    </row>
    <row r="25" spans="1:10" x14ac:dyDescent="0.25">
      <c r="A25" s="9" t="s">
        <v>84</v>
      </c>
      <c r="B25" s="9" t="s">
        <v>55</v>
      </c>
      <c r="C25" s="9" t="s">
        <v>11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A26" s="9" t="s">
        <v>85</v>
      </c>
      <c r="B26" s="9" t="s">
        <v>43</v>
      </c>
      <c r="C26" s="9" t="s">
        <v>19</v>
      </c>
      <c r="F26" s="1" t="str">
        <f>IF(ISBLANK(Overall!B9),"",Overall!B9)</f>
        <v>*Association*</v>
      </c>
      <c r="G26" s="11">
        <f t="shared" si="4"/>
        <v>3</v>
      </c>
      <c r="H26" s="11">
        <f t="shared" si="3"/>
        <v>2</v>
      </c>
      <c r="I26" s="11">
        <f t="shared" si="3"/>
        <v>0</v>
      </c>
      <c r="J26" s="11">
        <f t="shared" si="5"/>
        <v>5</v>
      </c>
    </row>
    <row r="27" spans="1:10" x14ac:dyDescent="0.25">
      <c r="A27" s="9" t="s">
        <v>86</v>
      </c>
      <c r="B27" s="9" t="s">
        <v>42</v>
      </c>
      <c r="C27" s="9" t="s">
        <v>19</v>
      </c>
      <c r="F27" s="1" t="str">
        <f>IF(ISBLANK(Overall!B10),"",Overall!B10)</f>
        <v>*Action Planning*</v>
      </c>
      <c r="G27" s="11">
        <f t="shared" si="4"/>
        <v>4</v>
      </c>
      <c r="H27" s="11">
        <f t="shared" si="3"/>
        <v>3</v>
      </c>
      <c r="I27" s="11">
        <f t="shared" si="3"/>
        <v>0</v>
      </c>
      <c r="J27" s="11">
        <f t="shared" si="5"/>
        <v>7</v>
      </c>
    </row>
    <row r="28" spans="1:10" x14ac:dyDescent="0.25">
      <c r="A28" s="9" t="s">
        <v>87</v>
      </c>
      <c r="B28" s="9" t="s">
        <v>43</v>
      </c>
      <c r="C28" s="9" t="s">
        <v>11</v>
      </c>
      <c r="F28" s="1" t="str">
        <f>IF(ISBLANK(Overall!B11),"",Overall!B11)</f>
        <v>*Confidence*</v>
      </c>
      <c r="G28" s="11">
        <f t="shared" si="4"/>
        <v>1</v>
      </c>
      <c r="H28" s="11">
        <f t="shared" si="3"/>
        <v>0</v>
      </c>
      <c r="I28" s="11">
        <f t="shared" si="3"/>
        <v>0</v>
      </c>
      <c r="J28" s="11">
        <f t="shared" si="5"/>
        <v>1</v>
      </c>
    </row>
    <row r="29" spans="1:10" x14ac:dyDescent="0.25">
      <c r="A29" s="9" t="s">
        <v>88</v>
      </c>
      <c r="B29" s="9" t="s">
        <v>89</v>
      </c>
      <c r="C29" s="9" t="s">
        <v>19</v>
      </c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ht="30" x14ac:dyDescent="0.25">
      <c r="A30" s="9" t="s">
        <v>90</v>
      </c>
      <c r="B30" s="9" t="s">
        <v>43</v>
      </c>
      <c r="C30" s="9" t="s">
        <v>11</v>
      </c>
      <c r="G30" s="11">
        <f>SUM(G26:G29)</f>
        <v>8</v>
      </c>
      <c r="H30" s="11">
        <f t="shared" ref="H30:J30" si="6">SUM(H26:H29)</f>
        <v>5</v>
      </c>
      <c r="I30" s="11">
        <f t="shared" si="6"/>
        <v>0</v>
      </c>
      <c r="J30" s="11">
        <f t="shared" si="6"/>
        <v>13</v>
      </c>
    </row>
    <row r="31" spans="1:10" ht="30" x14ac:dyDescent="0.25">
      <c r="A31" s="9" t="s">
        <v>92</v>
      </c>
      <c r="B31" s="9" t="s">
        <v>91</v>
      </c>
      <c r="C31" s="9" t="s">
        <v>11</v>
      </c>
      <c r="F31" s="1" t="str">
        <f>IF(ISBLANK(Overall!B14),"",Overall!B14)</f>
        <v/>
      </c>
    </row>
    <row r="32" spans="1:10" x14ac:dyDescent="0.25">
      <c r="A32" s="9" t="s">
        <v>96</v>
      </c>
      <c r="B32" s="9" t="s">
        <v>42</v>
      </c>
      <c r="C32" s="9" t="s">
        <v>11</v>
      </c>
      <c r="F32" s="1" t="str">
        <f>IF(ISBLANK(Overall!B15),"",Overall!B15)</f>
        <v/>
      </c>
    </row>
    <row r="33" spans="1:2" x14ac:dyDescent="0.25">
      <c r="A33" s="9"/>
      <c r="B33" s="9"/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2"/>
  <sheetViews>
    <sheetView workbookViewId="0">
      <selection activeCell="F6" sqref="F6:J6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10" t="s">
        <v>6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97</v>
      </c>
      <c r="C2" s="3"/>
      <c r="F2" s="1" t="str">
        <f>IF(ISBLANK(Overall!A3),"",Overall!A3)</f>
        <v>*Context*</v>
      </c>
      <c r="G2" s="11">
        <f>COUNTIFS($B$6:$B$18,$F2,$C$6:$C$18,G$1)</f>
        <v>2</v>
      </c>
      <c r="H2" s="11">
        <f t="shared" ref="H2:I2" si="0">COUNTIFS($B$6:$B$18,$F2,$C$6:$C$18,H$1)</f>
        <v>0</v>
      </c>
      <c r="I2" s="11">
        <f t="shared" si="0"/>
        <v>2</v>
      </c>
      <c r="J2" s="11">
        <f>COUNTIFS($B$6:$B$18,$F2)</f>
        <v>4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0</v>
      </c>
      <c r="I3" s="11">
        <f t="shared" si="1"/>
        <v>1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0</v>
      </c>
      <c r="I4" s="11">
        <f t="shared" si="1"/>
        <v>0</v>
      </c>
      <c r="J4" s="11">
        <f t="shared" si="2"/>
        <v>0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5" t="s">
        <v>101</v>
      </c>
      <c r="B6" s="5" t="s">
        <v>15</v>
      </c>
      <c r="C6" s="5" t="s">
        <v>11</v>
      </c>
    </row>
    <row r="7" spans="1:10" x14ac:dyDescent="0.25">
      <c r="A7" s="5" t="s">
        <v>105</v>
      </c>
      <c r="B7" s="5" t="s">
        <v>15</v>
      </c>
      <c r="C7" s="5" t="s">
        <v>38</v>
      </c>
    </row>
    <row r="8" spans="1:10" x14ac:dyDescent="0.25">
      <c r="A8" s="5" t="s">
        <v>102</v>
      </c>
      <c r="B8" s="5" t="s">
        <v>15</v>
      </c>
      <c r="C8" s="5" t="s">
        <v>11</v>
      </c>
    </row>
    <row r="9" spans="1:10" x14ac:dyDescent="0.25">
      <c r="A9" s="5" t="s">
        <v>103</v>
      </c>
      <c r="B9" s="5" t="s">
        <v>22</v>
      </c>
      <c r="C9" s="5" t="s">
        <v>38</v>
      </c>
    </row>
    <row r="10" spans="1:10" x14ac:dyDescent="0.25">
      <c r="A10" s="5" t="s">
        <v>104</v>
      </c>
      <c r="B10" s="5" t="s">
        <v>15</v>
      </c>
      <c r="C10" s="5" t="s">
        <v>38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98</v>
      </c>
      <c r="B21" s="5" t="s">
        <v>43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99</v>
      </c>
      <c r="B22" s="5" t="s">
        <v>43</v>
      </c>
      <c r="C22" s="5" t="s">
        <v>11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A23" s="5" t="s">
        <v>100</v>
      </c>
      <c r="B23" s="5" t="s">
        <v>32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2</v>
      </c>
      <c r="H27" s="11">
        <f t="shared" si="3"/>
        <v>0</v>
      </c>
      <c r="I27" s="11">
        <f t="shared" si="3"/>
        <v>0</v>
      </c>
      <c r="J27" s="11">
        <f t="shared" si="5"/>
        <v>2</v>
      </c>
    </row>
    <row r="28" spans="1:10" x14ac:dyDescent="0.25">
      <c r="F28" s="1" t="str">
        <f>IF(ISBLANK(Overall!B11),"",Overall!B11)</f>
        <v>*Confidence*</v>
      </c>
      <c r="G28" s="11">
        <f t="shared" si="4"/>
        <v>1</v>
      </c>
      <c r="H28" s="11">
        <f t="shared" si="3"/>
        <v>0</v>
      </c>
      <c r="I28" s="11">
        <f t="shared" si="3"/>
        <v>0</v>
      </c>
      <c r="J28" s="11">
        <f t="shared" si="5"/>
        <v>1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2"/>
  <sheetViews>
    <sheetView workbookViewId="0">
      <selection activeCell="A23" sqref="A23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10" t="s">
        <v>7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97</v>
      </c>
      <c r="C2" s="3"/>
      <c r="F2" s="1" t="str">
        <f>IF(ISBLANK(Overall!A3),"",Overall!A3)</f>
        <v>*Context*</v>
      </c>
      <c r="G2" s="11">
        <f>COUNTIFS($B$6:$B$18,$F2,$C$6:$C$18,G$1)</f>
        <v>2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2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5</v>
      </c>
      <c r="H3" s="11">
        <f t="shared" si="1"/>
        <v>0</v>
      </c>
      <c r="I3" s="11">
        <f t="shared" si="1"/>
        <v>0</v>
      </c>
      <c r="J3" s="11">
        <f t="shared" ref="J3:J5" si="2">COUNTIFS($B$6:$B$18,$F3)</f>
        <v>5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0</v>
      </c>
      <c r="I4" s="11">
        <f t="shared" si="1"/>
        <v>0</v>
      </c>
      <c r="J4" s="11">
        <f t="shared" si="2"/>
        <v>0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5" t="s">
        <v>106</v>
      </c>
      <c r="B6" s="5" t="s">
        <v>15</v>
      </c>
      <c r="C6" s="5" t="s">
        <v>11</v>
      </c>
    </row>
    <row r="7" spans="1:10" x14ac:dyDescent="0.25">
      <c r="A7" s="5" t="s">
        <v>107</v>
      </c>
      <c r="B7" s="5" t="s">
        <v>22</v>
      </c>
      <c r="C7" s="5" t="s">
        <v>11</v>
      </c>
    </row>
    <row r="8" spans="1:10" x14ac:dyDescent="0.25">
      <c r="A8" s="5" t="s">
        <v>108</v>
      </c>
      <c r="B8" s="5" t="s">
        <v>15</v>
      </c>
      <c r="C8" s="5" t="s">
        <v>11</v>
      </c>
    </row>
    <row r="9" spans="1:10" x14ac:dyDescent="0.25">
      <c r="A9" s="5" t="s">
        <v>109</v>
      </c>
      <c r="B9" s="5" t="s">
        <v>22</v>
      </c>
      <c r="C9" s="5" t="s">
        <v>11</v>
      </c>
    </row>
    <row r="10" spans="1:10" x14ac:dyDescent="0.25">
      <c r="A10" s="5" t="s">
        <v>110</v>
      </c>
      <c r="B10" s="5" t="s">
        <v>22</v>
      </c>
      <c r="C10" s="5" t="s">
        <v>11</v>
      </c>
    </row>
    <row r="11" spans="1:10" x14ac:dyDescent="0.25">
      <c r="A11" s="5" t="s">
        <v>111</v>
      </c>
      <c r="B11" s="5" t="s">
        <v>22</v>
      </c>
      <c r="C11" s="5" t="s">
        <v>11</v>
      </c>
    </row>
    <row r="12" spans="1:10" x14ac:dyDescent="0.25">
      <c r="A12" s="5" t="s">
        <v>112</v>
      </c>
      <c r="B12" s="5" t="s">
        <v>22</v>
      </c>
      <c r="C12" s="5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1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1</v>
      </c>
    </row>
    <row r="21" spans="1:10" x14ac:dyDescent="0.25">
      <c r="A21" s="5" t="s">
        <v>113</v>
      </c>
      <c r="B21" s="5" t="s">
        <v>43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114</v>
      </c>
      <c r="B22" s="5" t="s">
        <v>122</v>
      </c>
      <c r="C22" s="5" t="s">
        <v>11</v>
      </c>
      <c r="F22" s="1" t="str">
        <f>IF(ISBLANK(Overall!B5),"",Overall!B5)</f>
        <v>*Satisfaction*</v>
      </c>
      <c r="G22" s="11">
        <f t="shared" si="4"/>
        <v>1</v>
      </c>
      <c r="H22" s="11">
        <f t="shared" si="3"/>
        <v>0</v>
      </c>
      <c r="I22" s="11">
        <f t="shared" si="3"/>
        <v>0</v>
      </c>
      <c r="J22" s="11">
        <f t="shared" si="5"/>
        <v>1</v>
      </c>
    </row>
    <row r="23" spans="1:10" x14ac:dyDescent="0.25">
      <c r="A23" s="5" t="s">
        <v>115</v>
      </c>
      <c r="B23" s="5" t="s">
        <v>42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5" t="s">
        <v>116</v>
      </c>
      <c r="B24" s="5" t="s">
        <v>42</v>
      </c>
      <c r="C24" s="5" t="s">
        <v>38</v>
      </c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A25" s="5" t="s">
        <v>117</v>
      </c>
      <c r="B25" s="5" t="s">
        <v>32</v>
      </c>
      <c r="C25" s="5" t="s">
        <v>11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A26" s="5" t="s">
        <v>118</v>
      </c>
      <c r="B26" s="5" t="s">
        <v>15</v>
      </c>
      <c r="C26" s="5" t="s">
        <v>11</v>
      </c>
      <c r="F26" s="1" t="str">
        <f>IF(ISBLANK(Overall!B9),"",Overall!B9)</f>
        <v>*Association*</v>
      </c>
      <c r="G26" s="11">
        <f t="shared" si="4"/>
        <v>1</v>
      </c>
      <c r="H26" s="11">
        <f t="shared" si="3"/>
        <v>0</v>
      </c>
      <c r="I26" s="11">
        <f t="shared" si="3"/>
        <v>1</v>
      </c>
      <c r="J26" s="11">
        <f t="shared" si="5"/>
        <v>2</v>
      </c>
    </row>
    <row r="27" spans="1:10" x14ac:dyDescent="0.25">
      <c r="F27" s="1" t="str">
        <f>IF(ISBLANK(Overall!B10),"",Overall!B10)</f>
        <v>*Action Planning*</v>
      </c>
      <c r="G27" s="11">
        <f t="shared" si="4"/>
        <v>1</v>
      </c>
      <c r="H27" s="11">
        <f t="shared" si="3"/>
        <v>0</v>
      </c>
      <c r="I27" s="11">
        <f t="shared" si="3"/>
        <v>0</v>
      </c>
      <c r="J27" s="11">
        <f t="shared" si="5"/>
        <v>1</v>
      </c>
    </row>
    <row r="28" spans="1:10" x14ac:dyDescent="0.25">
      <c r="F28" s="1" t="str">
        <f>IF(ISBLANK(Overall!B11),"",Overall!B11)</f>
        <v>*Confidence*</v>
      </c>
      <c r="G28" s="11">
        <f t="shared" si="4"/>
        <v>1</v>
      </c>
      <c r="H28" s="11">
        <f t="shared" si="3"/>
        <v>0</v>
      </c>
      <c r="I28" s="11">
        <f t="shared" si="3"/>
        <v>0</v>
      </c>
      <c r="J28" s="11">
        <f t="shared" si="5"/>
        <v>1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2"/>
  <sheetViews>
    <sheetView workbookViewId="0">
      <selection activeCell="B3" sqref="B3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8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141</v>
      </c>
      <c r="C2" s="3"/>
      <c r="F2" s="1" t="str">
        <f>IF(ISBLANK(Overall!A3),"",Overall!A3)</f>
        <v>*Context*</v>
      </c>
      <c r="G2" s="11">
        <f>COUNTIFS($B$6:$B$18,$F2,$C$6:$C$18,G$1)</f>
        <v>0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0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0</v>
      </c>
      <c r="I4" s="11">
        <f t="shared" si="1"/>
        <v>0</v>
      </c>
      <c r="J4" s="11">
        <f t="shared" si="2"/>
        <v>0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5" t="s">
        <v>119</v>
      </c>
      <c r="B6" s="5" t="s">
        <v>22</v>
      </c>
      <c r="C6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120</v>
      </c>
      <c r="B21" s="5" t="s">
        <v>43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1</v>
      </c>
      <c r="H27" s="11">
        <f t="shared" si="3"/>
        <v>0</v>
      </c>
      <c r="I27" s="11">
        <f t="shared" si="3"/>
        <v>0</v>
      </c>
      <c r="J27" s="11">
        <f t="shared" si="5"/>
        <v>1</v>
      </c>
    </row>
    <row r="28" spans="1:10" x14ac:dyDescent="0.25">
      <c r="F28" s="1" t="str">
        <f>IF(ISBLANK(Overall!B11),"",Overall!B11)</f>
        <v>*Confidence*</v>
      </c>
      <c r="G28" s="11">
        <f t="shared" si="4"/>
        <v>0</v>
      </c>
      <c r="H28" s="11">
        <f t="shared" si="3"/>
        <v>0</v>
      </c>
      <c r="I28" s="11">
        <f t="shared" si="3"/>
        <v>0</v>
      </c>
      <c r="J28" s="11">
        <f t="shared" si="5"/>
        <v>0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2"/>
  <sheetViews>
    <sheetView workbookViewId="0">
      <selection activeCell="A23" sqref="A23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10" t="s">
        <v>124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125</v>
      </c>
      <c r="C2" s="3"/>
      <c r="F2" s="1" t="str">
        <f>IF(ISBLANK(Overall!A3),"",Overall!A3)</f>
        <v>*Context*</v>
      </c>
      <c r="G2" s="11">
        <f>COUNTIFS($B$6:$B$18,$F2,$C$6:$C$18,G$1)</f>
        <v>1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1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3</v>
      </c>
      <c r="H4" s="11">
        <f t="shared" si="1"/>
        <v>2</v>
      </c>
      <c r="I4" s="11">
        <f t="shared" si="1"/>
        <v>0</v>
      </c>
      <c r="J4" s="11">
        <f t="shared" si="2"/>
        <v>5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1</v>
      </c>
      <c r="H5" s="11">
        <f t="shared" si="1"/>
        <v>1</v>
      </c>
      <c r="I5" s="11">
        <f t="shared" si="1"/>
        <v>0</v>
      </c>
      <c r="J5" s="11">
        <f t="shared" si="2"/>
        <v>2</v>
      </c>
    </row>
    <row r="6" spans="1:10" x14ac:dyDescent="0.25">
      <c r="A6" s="5" t="s">
        <v>126</v>
      </c>
      <c r="B6" s="5" t="s">
        <v>22</v>
      </c>
      <c r="C6" s="5" t="s">
        <v>19</v>
      </c>
    </row>
    <row r="7" spans="1:10" x14ac:dyDescent="0.25">
      <c r="A7" s="5" t="s">
        <v>127</v>
      </c>
      <c r="B7" s="5" t="s">
        <v>122</v>
      </c>
      <c r="C7" s="5" t="s">
        <v>11</v>
      </c>
    </row>
    <row r="8" spans="1:10" x14ac:dyDescent="0.25">
      <c r="A8" s="5" t="s">
        <v>128</v>
      </c>
      <c r="B8" s="5" t="s">
        <v>15</v>
      </c>
      <c r="C8" s="5" t="s">
        <v>11</v>
      </c>
    </row>
    <row r="9" spans="1:10" x14ac:dyDescent="0.25">
      <c r="A9" s="5" t="s">
        <v>129</v>
      </c>
      <c r="B9" s="5" t="s">
        <v>16</v>
      </c>
      <c r="C9" s="5" t="s">
        <v>11</v>
      </c>
    </row>
    <row r="10" spans="1:10" x14ac:dyDescent="0.25">
      <c r="A10" s="5" t="s">
        <v>132</v>
      </c>
      <c r="B10" s="5" t="s">
        <v>122</v>
      </c>
      <c r="C10" s="5" t="s">
        <v>11</v>
      </c>
    </row>
    <row r="11" spans="1:10" ht="30" x14ac:dyDescent="0.25">
      <c r="A11" s="5" t="s">
        <v>121</v>
      </c>
      <c r="B11" s="5" t="s">
        <v>122</v>
      </c>
      <c r="C11" s="5" t="s">
        <v>11</v>
      </c>
    </row>
    <row r="12" spans="1:10" x14ac:dyDescent="0.25">
      <c r="A12" s="5" t="s">
        <v>130</v>
      </c>
      <c r="B12" s="5" t="s">
        <v>122</v>
      </c>
      <c r="C12" s="5" t="s">
        <v>19</v>
      </c>
    </row>
    <row r="13" spans="1:10" x14ac:dyDescent="0.25">
      <c r="A13" s="5" t="s">
        <v>135</v>
      </c>
      <c r="B13" s="5" t="s">
        <v>136</v>
      </c>
      <c r="C13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67" t="s">
        <v>29</v>
      </c>
      <c r="B20" s="68"/>
      <c r="C20" s="69"/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4" t="s">
        <v>2</v>
      </c>
      <c r="B21" s="4" t="s">
        <v>14</v>
      </c>
      <c r="C21" s="4" t="s">
        <v>3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131</v>
      </c>
      <c r="B22" s="5" t="s">
        <v>32</v>
      </c>
      <c r="C22" s="5" t="s">
        <v>11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A23" s="5" t="s">
        <v>133</v>
      </c>
      <c r="B23" s="5" t="s">
        <v>43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5" t="s">
        <v>137</v>
      </c>
      <c r="B24" s="5" t="s">
        <v>41</v>
      </c>
      <c r="C24" s="5" t="s">
        <v>19</v>
      </c>
      <c r="F24" s="1" t="str">
        <f>IF(ISBLANK(Overall!B7),"",Overall!B7)</f>
        <v>*Recognition*</v>
      </c>
      <c r="G24" s="11">
        <f t="shared" si="4"/>
        <v>0</v>
      </c>
      <c r="H24" s="11">
        <f t="shared" si="3"/>
        <v>1</v>
      </c>
      <c r="I24" s="11">
        <f t="shared" si="3"/>
        <v>0</v>
      </c>
      <c r="J24" s="11">
        <f t="shared" si="5"/>
        <v>1</v>
      </c>
    </row>
    <row r="25" spans="1:10" x14ac:dyDescent="0.25">
      <c r="A25" s="5" t="s">
        <v>134</v>
      </c>
      <c r="B25" s="5" t="s">
        <v>43</v>
      </c>
      <c r="C25" s="5" t="s">
        <v>11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2</v>
      </c>
      <c r="H27" s="11">
        <f t="shared" si="3"/>
        <v>0</v>
      </c>
      <c r="I27" s="11">
        <f t="shared" si="3"/>
        <v>0</v>
      </c>
      <c r="J27" s="11">
        <f t="shared" si="5"/>
        <v>2</v>
      </c>
    </row>
    <row r="28" spans="1:10" x14ac:dyDescent="0.25">
      <c r="F28" s="1" t="str">
        <f>IF(ISBLANK(Overall!B11),"",Overall!B11)</f>
        <v>*Confidence*</v>
      </c>
      <c r="G28" s="11">
        <f t="shared" si="4"/>
        <v>1</v>
      </c>
      <c r="H28" s="11">
        <f t="shared" si="3"/>
        <v>0</v>
      </c>
      <c r="I28" s="11">
        <f t="shared" si="3"/>
        <v>0</v>
      </c>
      <c r="J28" s="11">
        <f t="shared" si="5"/>
        <v>1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20:C2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32"/>
  <sheetViews>
    <sheetView workbookViewId="0">
      <selection activeCell="A29" sqref="A29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145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141</v>
      </c>
      <c r="C2" s="3"/>
      <c r="F2" s="1" t="str">
        <f>IF(ISBLANK(Overall!A3),"",Overall!A3)</f>
        <v>*Context*</v>
      </c>
      <c r="G2" s="11">
        <f>COUNTIFS($B$6:$B$18,$F2,$C$6:$C$18,G$1)</f>
        <v>1</v>
      </c>
      <c r="H2" s="11">
        <f t="shared" ref="H2:I2" si="0">COUNTIFS($B$6:$B$18,$F2,$C$6:$C$18,H$1)</f>
        <v>1</v>
      </c>
      <c r="I2" s="11">
        <f t="shared" si="0"/>
        <v>0</v>
      </c>
      <c r="J2" s="11">
        <f>COUNTIFS($B$6:$B$18,$F2)</f>
        <v>2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1</v>
      </c>
      <c r="H4" s="11">
        <f t="shared" si="1"/>
        <v>3</v>
      </c>
      <c r="I4" s="11">
        <f t="shared" si="1"/>
        <v>0</v>
      </c>
      <c r="J4" s="11">
        <f t="shared" si="2"/>
        <v>4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2</v>
      </c>
      <c r="H5" s="11">
        <f t="shared" si="1"/>
        <v>0</v>
      </c>
      <c r="I5" s="11">
        <f t="shared" si="1"/>
        <v>0</v>
      </c>
      <c r="J5" s="11">
        <f t="shared" si="2"/>
        <v>2</v>
      </c>
    </row>
    <row r="6" spans="1:10" x14ac:dyDescent="0.25">
      <c r="A6" s="5" t="s">
        <v>138</v>
      </c>
      <c r="B6" s="5" t="s">
        <v>122</v>
      </c>
      <c r="C6" s="5" t="s">
        <v>19</v>
      </c>
    </row>
    <row r="7" spans="1:10" x14ac:dyDescent="0.25">
      <c r="A7" s="5" t="s">
        <v>139</v>
      </c>
      <c r="B7" s="5" t="s">
        <v>15</v>
      </c>
      <c r="C7" s="5" t="s">
        <v>11</v>
      </c>
    </row>
    <row r="8" spans="1:10" x14ac:dyDescent="0.25">
      <c r="A8" s="5" t="s">
        <v>140</v>
      </c>
      <c r="B8" s="5" t="s">
        <v>16</v>
      </c>
      <c r="C8" s="5" t="s">
        <v>11</v>
      </c>
    </row>
    <row r="9" spans="1:10" x14ac:dyDescent="0.25">
      <c r="A9" s="5" t="s">
        <v>142</v>
      </c>
      <c r="B9" s="5" t="s">
        <v>122</v>
      </c>
      <c r="C9" s="5" t="s">
        <v>19</v>
      </c>
    </row>
    <row r="10" spans="1:10" x14ac:dyDescent="0.25">
      <c r="A10" s="5" t="s">
        <v>143</v>
      </c>
      <c r="B10" s="5" t="s">
        <v>122</v>
      </c>
      <c r="C10" s="5" t="s">
        <v>11</v>
      </c>
    </row>
    <row r="11" spans="1:10" ht="30" x14ac:dyDescent="0.25">
      <c r="A11" s="5" t="s">
        <v>144</v>
      </c>
      <c r="B11" s="5" t="s">
        <v>16</v>
      </c>
      <c r="C11" s="5" t="s">
        <v>11</v>
      </c>
    </row>
    <row r="12" spans="1:10" x14ac:dyDescent="0.25">
      <c r="A12" s="5" t="s">
        <v>146</v>
      </c>
      <c r="B12" s="5" t="s">
        <v>22</v>
      </c>
      <c r="C12" s="5" t="s">
        <v>19</v>
      </c>
    </row>
    <row r="13" spans="1:10" x14ac:dyDescent="0.25">
      <c r="A13" s="5" t="s">
        <v>147</v>
      </c>
      <c r="B13" s="5" t="s">
        <v>15</v>
      </c>
      <c r="C13" s="5" t="s">
        <v>19</v>
      </c>
    </row>
    <row r="14" spans="1:10" x14ac:dyDescent="0.25">
      <c r="A14" s="5" t="s">
        <v>148</v>
      </c>
      <c r="B14" s="5" t="s">
        <v>122</v>
      </c>
      <c r="C14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1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1</v>
      </c>
    </row>
    <row r="21" spans="1:10" x14ac:dyDescent="0.25">
      <c r="A21" s="5" t="s">
        <v>151</v>
      </c>
      <c r="B21" s="5" t="s">
        <v>43</v>
      </c>
      <c r="C21" s="5" t="s">
        <v>19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152</v>
      </c>
      <c r="B22" s="5" t="s">
        <v>122</v>
      </c>
      <c r="C22" s="5" t="s">
        <v>19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3</v>
      </c>
      <c r="I22" s="11">
        <f t="shared" si="3"/>
        <v>0</v>
      </c>
      <c r="J22" s="11">
        <f t="shared" si="5"/>
        <v>3</v>
      </c>
    </row>
    <row r="23" spans="1:10" x14ac:dyDescent="0.25">
      <c r="A23" s="5" t="s">
        <v>149</v>
      </c>
      <c r="B23" s="5" t="s">
        <v>15</v>
      </c>
      <c r="C23" s="5" t="s">
        <v>11</v>
      </c>
      <c r="F23" s="1" t="str">
        <f>IF(ISBLANK(Overall!B6),"",Overall!B6)</f>
        <v>*Syntax*</v>
      </c>
      <c r="G23" s="11">
        <f t="shared" si="4"/>
        <v>1</v>
      </c>
      <c r="H23" s="11">
        <f t="shared" si="3"/>
        <v>0</v>
      </c>
      <c r="I23" s="11">
        <f t="shared" si="3"/>
        <v>0</v>
      </c>
      <c r="J23" s="11">
        <f t="shared" si="5"/>
        <v>1</v>
      </c>
    </row>
    <row r="24" spans="1:10" x14ac:dyDescent="0.25">
      <c r="A24" s="5" t="s">
        <v>150</v>
      </c>
      <c r="B24" s="5" t="s">
        <v>155</v>
      </c>
      <c r="C24" s="5" t="s">
        <v>11</v>
      </c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A25" s="5" t="s">
        <v>153</v>
      </c>
      <c r="B25" s="5" t="s">
        <v>122</v>
      </c>
      <c r="C25" s="5" t="s">
        <v>19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2</v>
      </c>
      <c r="I25" s="11">
        <f t="shared" si="3"/>
        <v>0</v>
      </c>
      <c r="J25" s="11">
        <f t="shared" si="5"/>
        <v>2</v>
      </c>
    </row>
    <row r="26" spans="1:10" x14ac:dyDescent="0.25">
      <c r="A26" s="5" t="s">
        <v>154</v>
      </c>
      <c r="B26" s="5" t="s">
        <v>244</v>
      </c>
      <c r="C26" s="5" t="s">
        <v>11</v>
      </c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A27" s="5" t="s">
        <v>156</v>
      </c>
      <c r="B27" s="5" t="s">
        <v>16</v>
      </c>
      <c r="C27" s="5" t="s">
        <v>11</v>
      </c>
      <c r="F27" s="1" t="str">
        <f>IF(ISBLANK(Overall!B10),"",Overall!B10)</f>
        <v>*Action Planning*</v>
      </c>
      <c r="G27" s="11">
        <f t="shared" si="4"/>
        <v>1</v>
      </c>
      <c r="H27" s="11">
        <f t="shared" si="3"/>
        <v>1</v>
      </c>
      <c r="I27" s="11">
        <f t="shared" si="3"/>
        <v>0</v>
      </c>
      <c r="J27" s="11">
        <f t="shared" si="5"/>
        <v>2</v>
      </c>
    </row>
    <row r="28" spans="1:10" x14ac:dyDescent="0.25">
      <c r="A28" s="5" t="s">
        <v>157</v>
      </c>
      <c r="B28" s="5" t="s">
        <v>122</v>
      </c>
      <c r="C28" s="5" t="s">
        <v>19</v>
      </c>
      <c r="F28" s="1" t="str">
        <f>IF(ISBLANK(Overall!B11),"",Overall!B11)</f>
        <v>*Confidence*</v>
      </c>
      <c r="G28" s="11">
        <f t="shared" si="4"/>
        <v>0</v>
      </c>
      <c r="H28" s="11">
        <f t="shared" si="3"/>
        <v>0</v>
      </c>
      <c r="I28" s="11">
        <f t="shared" si="3"/>
        <v>0</v>
      </c>
      <c r="J28" s="11">
        <f t="shared" si="5"/>
        <v>0</v>
      </c>
    </row>
    <row r="29" spans="1:10" x14ac:dyDescent="0.25">
      <c r="A29" s="5" t="s">
        <v>158</v>
      </c>
      <c r="B29" s="5" t="s">
        <v>160</v>
      </c>
      <c r="C29" s="5" t="s">
        <v>19</v>
      </c>
      <c r="F29" s="1" t="str">
        <f>IF(ISBLANK(Overall!B12),"",Overall!B12)</f>
        <v>*Scalability*</v>
      </c>
      <c r="G29" s="11">
        <f t="shared" si="4"/>
        <v>2</v>
      </c>
      <c r="H29" s="11">
        <f t="shared" si="3"/>
        <v>0</v>
      </c>
      <c r="I29" s="11">
        <f t="shared" si="3"/>
        <v>0</v>
      </c>
      <c r="J29" s="11">
        <f t="shared" si="5"/>
        <v>2</v>
      </c>
    </row>
    <row r="30" spans="1:10" x14ac:dyDescent="0.25">
      <c r="A30" s="5" t="s">
        <v>159</v>
      </c>
      <c r="B30" s="5" t="s">
        <v>160</v>
      </c>
      <c r="C30" s="5" t="s">
        <v>19</v>
      </c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2"/>
  <sheetViews>
    <sheetView workbookViewId="0">
      <selection activeCell="A6" sqref="A6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10" t="s">
        <v>165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141</v>
      </c>
      <c r="C2" s="3"/>
      <c r="F2" s="1" t="str">
        <f>IF(ISBLANK(Overall!A3),"",Overall!A3)</f>
        <v>*Context*</v>
      </c>
      <c r="G2" s="11">
        <f>COUNTIFS($B$6:$B$18,$F2,$C$6:$C$18,G$1)</f>
        <v>0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0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0</v>
      </c>
      <c r="I3" s="11">
        <f t="shared" si="1"/>
        <v>0</v>
      </c>
      <c r="J3" s="11">
        <f t="shared" ref="J3:J5" si="2">COUNTIFS($B$6:$B$18,$F3)</f>
        <v>0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2</v>
      </c>
      <c r="H4" s="11">
        <f t="shared" si="1"/>
        <v>2</v>
      </c>
      <c r="I4" s="11">
        <f t="shared" si="1"/>
        <v>0</v>
      </c>
      <c r="J4" s="11">
        <f t="shared" si="2"/>
        <v>4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1</v>
      </c>
      <c r="H5" s="11">
        <f t="shared" si="1"/>
        <v>0</v>
      </c>
      <c r="I5" s="11">
        <f t="shared" si="1"/>
        <v>0</v>
      </c>
      <c r="J5" s="11">
        <f t="shared" si="2"/>
        <v>1</v>
      </c>
    </row>
    <row r="6" spans="1:10" x14ac:dyDescent="0.25">
      <c r="A6" s="5" t="s">
        <v>166</v>
      </c>
      <c r="B6" s="5" t="s">
        <v>122</v>
      </c>
      <c r="C6" s="5" t="s">
        <v>11</v>
      </c>
    </row>
    <row r="7" spans="1:10" x14ac:dyDescent="0.25">
      <c r="A7" s="5" t="s">
        <v>167</v>
      </c>
      <c r="B7" s="5" t="s">
        <v>16</v>
      </c>
      <c r="C7" s="5" t="s">
        <v>11</v>
      </c>
    </row>
    <row r="8" spans="1:10" x14ac:dyDescent="0.25">
      <c r="A8" s="5" t="s">
        <v>168</v>
      </c>
      <c r="B8" s="5" t="s">
        <v>122</v>
      </c>
      <c r="C8" s="5" t="s">
        <v>19</v>
      </c>
    </row>
    <row r="9" spans="1:10" x14ac:dyDescent="0.25">
      <c r="A9" s="5" t="s">
        <v>169</v>
      </c>
      <c r="B9" s="5" t="s">
        <v>122</v>
      </c>
      <c r="C9" s="5" t="s">
        <v>11</v>
      </c>
    </row>
    <row r="10" spans="1:10" x14ac:dyDescent="0.25">
      <c r="A10" s="5" t="s">
        <v>170</v>
      </c>
      <c r="B10" s="5" t="s">
        <v>122</v>
      </c>
      <c r="C10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171</v>
      </c>
      <c r="B21" s="5" t="s">
        <v>43</v>
      </c>
      <c r="C21" s="5" t="s">
        <v>19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172</v>
      </c>
      <c r="B22" s="5" t="s">
        <v>173</v>
      </c>
      <c r="C22" s="5" t="s">
        <v>19</v>
      </c>
      <c r="F22" s="1" t="str">
        <f>IF(ISBLANK(Overall!B5),"",Overall!B5)</f>
        <v>*Satisfaction*</v>
      </c>
      <c r="G22" s="11">
        <f t="shared" si="4"/>
        <v>1</v>
      </c>
      <c r="H22" s="11">
        <f t="shared" si="3"/>
        <v>1</v>
      </c>
      <c r="I22" s="11">
        <f t="shared" si="3"/>
        <v>0</v>
      </c>
      <c r="J22" s="11">
        <f t="shared" si="5"/>
        <v>2</v>
      </c>
    </row>
    <row r="23" spans="1:10" x14ac:dyDescent="0.25">
      <c r="A23" s="5" t="s">
        <v>174</v>
      </c>
      <c r="B23" s="5" t="s">
        <v>122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1</v>
      </c>
      <c r="I23" s="11">
        <f t="shared" si="3"/>
        <v>0</v>
      </c>
      <c r="J23" s="11">
        <f t="shared" si="5"/>
        <v>1</v>
      </c>
    </row>
    <row r="24" spans="1:10" x14ac:dyDescent="0.25"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0</v>
      </c>
      <c r="H27" s="11">
        <f t="shared" si="3"/>
        <v>1</v>
      </c>
      <c r="I27" s="11">
        <f t="shared" si="3"/>
        <v>0</v>
      </c>
      <c r="J27" s="11">
        <f t="shared" si="5"/>
        <v>1</v>
      </c>
    </row>
    <row r="28" spans="1:10" x14ac:dyDescent="0.25">
      <c r="F28" s="1" t="str">
        <f>IF(ISBLANK(Overall!B11),"",Overall!B11)</f>
        <v>*Confidence*</v>
      </c>
      <c r="G28" s="11">
        <f t="shared" si="4"/>
        <v>0</v>
      </c>
      <c r="H28" s="11">
        <f t="shared" si="3"/>
        <v>0</v>
      </c>
      <c r="I28" s="11">
        <f t="shared" si="3"/>
        <v>0</v>
      </c>
      <c r="J28" s="11">
        <f t="shared" si="5"/>
        <v>0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32"/>
  <sheetViews>
    <sheetView workbookViewId="0">
      <selection activeCell="A21" sqref="A21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175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176</v>
      </c>
      <c r="C2" s="3"/>
      <c r="F2" s="1" t="str">
        <f>IF(ISBLANK(Overall!A3),"",Overall!A3)</f>
        <v>*Context*</v>
      </c>
      <c r="G2" s="11">
        <f>COUNTIFS($B$6:$B$18,$F2,$C$6:$C$18,G$1)</f>
        <v>3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3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1</v>
      </c>
      <c r="H3" s="11">
        <f t="shared" si="1"/>
        <v>0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0</v>
      </c>
      <c r="I4" s="11">
        <f t="shared" si="1"/>
        <v>0</v>
      </c>
      <c r="J4" s="11">
        <f t="shared" si="2"/>
        <v>0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5" t="s">
        <v>177</v>
      </c>
      <c r="B6" s="5" t="s">
        <v>15</v>
      </c>
      <c r="C6" s="5" t="s">
        <v>11</v>
      </c>
    </row>
    <row r="7" spans="1:10" x14ac:dyDescent="0.25">
      <c r="A7" s="5" t="s">
        <v>178</v>
      </c>
      <c r="B7" s="5" t="s">
        <v>179</v>
      </c>
      <c r="C7" s="5" t="s">
        <v>11</v>
      </c>
    </row>
    <row r="8" spans="1:10" x14ac:dyDescent="0.25">
      <c r="A8" s="5" t="s">
        <v>180</v>
      </c>
      <c r="B8" s="5" t="s">
        <v>15</v>
      </c>
      <c r="C8" s="5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181</v>
      </c>
      <c r="B21" s="5" t="s">
        <v>41</v>
      </c>
      <c r="C21" s="5" t="s">
        <v>19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182</v>
      </c>
      <c r="B22" s="5" t="s">
        <v>244</v>
      </c>
      <c r="C22" s="5" t="s">
        <v>11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F24" s="1" t="str">
        <f>IF(ISBLANK(Overall!B7),"",Overall!B7)</f>
        <v>*Recognition*</v>
      </c>
      <c r="G24" s="11">
        <f t="shared" si="4"/>
        <v>0</v>
      </c>
      <c r="H24" s="11">
        <f t="shared" si="3"/>
        <v>1</v>
      </c>
      <c r="I24" s="11">
        <f t="shared" si="3"/>
        <v>0</v>
      </c>
      <c r="J24" s="11">
        <f t="shared" si="5"/>
        <v>1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0</v>
      </c>
      <c r="H27" s="11">
        <f t="shared" si="3"/>
        <v>0</v>
      </c>
      <c r="I27" s="11">
        <f t="shared" si="3"/>
        <v>0</v>
      </c>
      <c r="J27" s="11">
        <f t="shared" si="5"/>
        <v>0</v>
      </c>
    </row>
    <row r="28" spans="1:10" x14ac:dyDescent="0.25">
      <c r="F28" s="1" t="str">
        <f>IF(ISBLANK(Overall!B11),"",Overall!B11)</f>
        <v>*Confidence*</v>
      </c>
      <c r="G28" s="11">
        <f t="shared" si="4"/>
        <v>0</v>
      </c>
      <c r="H28" s="11">
        <f t="shared" si="3"/>
        <v>0</v>
      </c>
      <c r="I28" s="11">
        <f t="shared" si="3"/>
        <v>0</v>
      </c>
      <c r="J28" s="11">
        <f t="shared" si="5"/>
        <v>0</v>
      </c>
    </row>
    <row r="29" spans="1:10" x14ac:dyDescent="0.25">
      <c r="F29" s="1" t="str">
        <f>IF(ISBLANK(Overall!B12),"",Overall!B12)</f>
        <v>*Scalability*</v>
      </c>
      <c r="G29" s="11">
        <f t="shared" si="4"/>
        <v>1</v>
      </c>
      <c r="H29" s="11">
        <f t="shared" si="3"/>
        <v>0</v>
      </c>
      <c r="I29" s="11">
        <f t="shared" si="3"/>
        <v>0</v>
      </c>
      <c r="J29" s="11">
        <f t="shared" si="5"/>
        <v>1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34"/>
  <sheetViews>
    <sheetView workbookViewId="0">
      <selection activeCell="A27" sqref="A27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190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141</v>
      </c>
      <c r="C2" s="3"/>
      <c r="F2" s="1" t="str">
        <f>IF(ISBLANK(Overall!A3),"",Overall!A3)</f>
        <v>*Context*</v>
      </c>
      <c r="G2" s="11">
        <f>COUNTIFS($B$6:$B$18,$F2,$C$6:$C$18,G$1)</f>
        <v>1</v>
      </c>
      <c r="H2" s="11">
        <f t="shared" ref="H2:I2" si="0">COUNTIFS($B$6:$B$18,$F2,$C$6:$C$18,H$1)</f>
        <v>1</v>
      </c>
      <c r="I2" s="11">
        <f t="shared" si="0"/>
        <v>0</v>
      </c>
      <c r="J2" s="11">
        <f>COUNTIFS($B$6:$B$18,$F2)</f>
        <v>2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0</v>
      </c>
      <c r="I3" s="11">
        <f t="shared" si="1"/>
        <v>0</v>
      </c>
      <c r="J3" s="11">
        <f t="shared" ref="J3:J5" si="2">COUNTIFS($B$6:$B$18,$F3)</f>
        <v>0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2</v>
      </c>
      <c r="I4" s="11">
        <f t="shared" si="1"/>
        <v>0</v>
      </c>
      <c r="J4" s="11">
        <f t="shared" si="2"/>
        <v>2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1</v>
      </c>
      <c r="I5" s="11">
        <f t="shared" si="1"/>
        <v>0</v>
      </c>
      <c r="J5" s="11">
        <f t="shared" si="2"/>
        <v>1</v>
      </c>
    </row>
    <row r="6" spans="1:10" x14ac:dyDescent="0.25">
      <c r="A6" s="5" t="s">
        <v>183</v>
      </c>
      <c r="B6" s="5" t="s">
        <v>15</v>
      </c>
      <c r="C6" s="5" t="s">
        <v>11</v>
      </c>
    </row>
    <row r="7" spans="1:10" x14ac:dyDescent="0.25">
      <c r="A7" s="5" t="s">
        <v>184</v>
      </c>
      <c r="B7" s="5" t="s">
        <v>16</v>
      </c>
      <c r="C7" s="5" t="s">
        <v>19</v>
      </c>
    </row>
    <row r="8" spans="1:10" x14ac:dyDescent="0.25">
      <c r="A8" s="5" t="s">
        <v>185</v>
      </c>
      <c r="B8" s="5" t="s">
        <v>122</v>
      </c>
      <c r="C8" s="5" t="s">
        <v>19</v>
      </c>
    </row>
    <row r="9" spans="1:10" x14ac:dyDescent="0.25">
      <c r="A9" s="5" t="s">
        <v>188</v>
      </c>
      <c r="B9" s="5" t="s">
        <v>122</v>
      </c>
      <c r="C9" s="5" t="s">
        <v>19</v>
      </c>
    </row>
    <row r="10" spans="1:10" x14ac:dyDescent="0.25">
      <c r="A10" s="5" t="s">
        <v>189</v>
      </c>
      <c r="B10" s="5" t="s">
        <v>15</v>
      </c>
      <c r="C10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1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1</v>
      </c>
    </row>
    <row r="21" spans="1:10" x14ac:dyDescent="0.25">
      <c r="A21" s="5" t="s">
        <v>186</v>
      </c>
      <c r="B21" s="5" t="s">
        <v>122</v>
      </c>
      <c r="C21" s="5" t="s">
        <v>19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187</v>
      </c>
      <c r="B22" s="5" t="s">
        <v>122</v>
      </c>
      <c r="C22" s="5" t="s">
        <v>19</v>
      </c>
      <c r="F22" s="1" t="str">
        <f>IF(ISBLANK(Overall!B5),"",Overall!B5)</f>
        <v>*Satisfaction*</v>
      </c>
      <c r="G22" s="11">
        <f t="shared" si="4"/>
        <v>1</v>
      </c>
      <c r="H22" s="11">
        <f t="shared" si="3"/>
        <v>8</v>
      </c>
      <c r="I22" s="11">
        <f t="shared" si="3"/>
        <v>0</v>
      </c>
      <c r="J22" s="11">
        <f t="shared" si="5"/>
        <v>9</v>
      </c>
    </row>
    <row r="23" spans="1:10" x14ac:dyDescent="0.25">
      <c r="A23" s="5" t="s">
        <v>191</v>
      </c>
      <c r="B23" s="5" t="s">
        <v>122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5" t="s">
        <v>192</v>
      </c>
      <c r="B24" s="5" t="s">
        <v>32</v>
      </c>
      <c r="C24" s="5" t="s">
        <v>11</v>
      </c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A25" s="5" t="s">
        <v>193</v>
      </c>
      <c r="B25" s="5" t="s">
        <v>122</v>
      </c>
      <c r="C25" s="5" t="s">
        <v>19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A26" s="5" t="s">
        <v>194</v>
      </c>
      <c r="B26" s="5" t="s">
        <v>15</v>
      </c>
      <c r="C26" s="5" t="s">
        <v>11</v>
      </c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A27" s="5" t="s">
        <v>201</v>
      </c>
      <c r="B27" s="5" t="s">
        <v>244</v>
      </c>
      <c r="C27" s="5" t="s">
        <v>11</v>
      </c>
      <c r="F27" s="1" t="str">
        <f>IF(ISBLANK(Overall!B10),"",Overall!B10)</f>
        <v>*Action Planning*</v>
      </c>
      <c r="G27" s="11">
        <f t="shared" si="4"/>
        <v>0</v>
      </c>
      <c r="H27" s="11">
        <f t="shared" si="3"/>
        <v>0</v>
      </c>
      <c r="I27" s="11">
        <f t="shared" si="3"/>
        <v>0</v>
      </c>
      <c r="J27" s="11">
        <f t="shared" si="5"/>
        <v>0</v>
      </c>
    </row>
    <row r="28" spans="1:10" x14ac:dyDescent="0.25">
      <c r="A28" s="5" t="s">
        <v>195</v>
      </c>
      <c r="B28" s="5" t="s">
        <v>122</v>
      </c>
      <c r="C28" s="5" t="s">
        <v>19</v>
      </c>
      <c r="F28" s="1" t="str">
        <f>IF(ISBLANK(Overall!B11),"",Overall!B11)</f>
        <v>*Confidence*</v>
      </c>
      <c r="G28" s="11">
        <f t="shared" si="4"/>
        <v>2</v>
      </c>
      <c r="H28" s="11">
        <f t="shared" si="3"/>
        <v>0</v>
      </c>
      <c r="I28" s="11">
        <f t="shared" si="3"/>
        <v>0</v>
      </c>
      <c r="J28" s="11">
        <f t="shared" si="5"/>
        <v>2</v>
      </c>
    </row>
    <row r="29" spans="1:10" x14ac:dyDescent="0.25">
      <c r="A29" s="5" t="s">
        <v>196</v>
      </c>
      <c r="B29" s="5" t="s">
        <v>122</v>
      </c>
      <c r="C29" s="5" t="s">
        <v>19</v>
      </c>
      <c r="F29" s="1" t="str">
        <f>IF(ISBLANK(Overall!B12),"",Overall!B12)</f>
        <v>*Scalability*</v>
      </c>
      <c r="G29" s="11">
        <f t="shared" si="4"/>
        <v>2</v>
      </c>
      <c r="H29" s="11">
        <f t="shared" si="3"/>
        <v>0</v>
      </c>
      <c r="I29" s="11">
        <f t="shared" si="3"/>
        <v>0</v>
      </c>
      <c r="J29" s="11">
        <f t="shared" si="5"/>
        <v>2</v>
      </c>
    </row>
    <row r="30" spans="1:10" x14ac:dyDescent="0.25">
      <c r="A30" s="5" t="s">
        <v>197</v>
      </c>
      <c r="B30" s="5" t="s">
        <v>244</v>
      </c>
      <c r="C30" s="5" t="s">
        <v>11</v>
      </c>
      <c r="F30" s="1" t="str">
        <f>IF(ISBLANK(Overall!B13),"",Overall!B13)</f>
        <v/>
      </c>
    </row>
    <row r="31" spans="1:10" x14ac:dyDescent="0.25">
      <c r="A31" s="5" t="s">
        <v>198</v>
      </c>
      <c r="B31" s="5" t="s">
        <v>122</v>
      </c>
      <c r="C31" s="5" t="s">
        <v>19</v>
      </c>
      <c r="F31" s="1" t="str">
        <f>IF(ISBLANK(Overall!B14),"",Overall!B14)</f>
        <v/>
      </c>
    </row>
    <row r="32" spans="1:10" x14ac:dyDescent="0.25">
      <c r="A32" s="5" t="s">
        <v>199</v>
      </c>
      <c r="B32" s="5" t="s">
        <v>122</v>
      </c>
      <c r="C32" s="5" t="s">
        <v>19</v>
      </c>
      <c r="F32" s="1" t="str">
        <f>IF(ISBLANK(Overall!B15),"",Overall!B15)</f>
        <v/>
      </c>
    </row>
    <row r="33" spans="1:3" x14ac:dyDescent="0.25">
      <c r="A33" s="5" t="s">
        <v>200</v>
      </c>
      <c r="B33" s="5" t="s">
        <v>122</v>
      </c>
      <c r="C33" s="5" t="s">
        <v>19</v>
      </c>
    </row>
    <row r="34" spans="1:3" ht="30" x14ac:dyDescent="0.25">
      <c r="A34" s="5" t="s">
        <v>202</v>
      </c>
      <c r="B34" s="5" t="s">
        <v>32</v>
      </c>
      <c r="C34" s="5" t="s">
        <v>11</v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32"/>
  <sheetViews>
    <sheetView workbookViewId="0">
      <selection activeCell="A23" sqref="A23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203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226</v>
      </c>
      <c r="C2" s="3"/>
      <c r="F2" s="1" t="str">
        <f>IF(ISBLANK(Overall!A3),"",Overall!A3)</f>
        <v>*Context*</v>
      </c>
      <c r="G2" s="11">
        <f>COUNTIFS($B$6:$B$18,$F2,$C$6:$C$18,G$1)</f>
        <v>1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1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2</v>
      </c>
      <c r="H4" s="11">
        <f t="shared" si="1"/>
        <v>3</v>
      </c>
      <c r="I4" s="11">
        <f t="shared" si="1"/>
        <v>0</v>
      </c>
      <c r="J4" s="11">
        <f t="shared" si="2"/>
        <v>5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1</v>
      </c>
      <c r="H5" s="11">
        <f t="shared" si="1"/>
        <v>0</v>
      </c>
      <c r="I5" s="11">
        <f t="shared" si="1"/>
        <v>0</v>
      </c>
      <c r="J5" s="11">
        <f t="shared" si="2"/>
        <v>1</v>
      </c>
    </row>
    <row r="6" spans="1:10" ht="30" x14ac:dyDescent="0.25">
      <c r="A6" s="5" t="s">
        <v>225</v>
      </c>
      <c r="B6" s="5" t="s">
        <v>15</v>
      </c>
      <c r="C6" s="5" t="s">
        <v>11</v>
      </c>
    </row>
    <row r="7" spans="1:10" x14ac:dyDescent="0.25">
      <c r="A7" s="5" t="s">
        <v>227</v>
      </c>
      <c r="B7" s="5" t="s">
        <v>122</v>
      </c>
      <c r="C7" s="5" t="s">
        <v>19</v>
      </c>
    </row>
    <row r="8" spans="1:10" x14ac:dyDescent="0.25">
      <c r="A8" s="5" t="s">
        <v>228</v>
      </c>
      <c r="B8" s="5" t="s">
        <v>122</v>
      </c>
      <c r="C8" s="5" t="s">
        <v>19</v>
      </c>
    </row>
    <row r="9" spans="1:10" x14ac:dyDescent="0.25">
      <c r="A9" s="5" t="s">
        <v>229</v>
      </c>
      <c r="B9" s="5" t="s">
        <v>136</v>
      </c>
      <c r="C9" s="5" t="s">
        <v>11</v>
      </c>
    </row>
    <row r="10" spans="1:10" x14ac:dyDescent="0.25">
      <c r="A10" s="5" t="s">
        <v>230</v>
      </c>
      <c r="B10" s="5" t="s">
        <v>122</v>
      </c>
      <c r="C10" s="5" t="s">
        <v>11</v>
      </c>
    </row>
    <row r="11" spans="1:10" x14ac:dyDescent="0.25">
      <c r="A11" s="5" t="s">
        <v>231</v>
      </c>
      <c r="B11" s="5" t="s">
        <v>122</v>
      </c>
      <c r="C11" s="5" t="s">
        <v>19</v>
      </c>
    </row>
    <row r="12" spans="1:10" x14ac:dyDescent="0.25">
      <c r="A12" s="44" t="s">
        <v>266</v>
      </c>
      <c r="B12" s="5" t="s">
        <v>22</v>
      </c>
      <c r="C12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233</v>
      </c>
      <c r="B21" s="5" t="s">
        <v>43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234</v>
      </c>
      <c r="B22" s="5" t="s">
        <v>122</v>
      </c>
      <c r="C22" s="5" t="s">
        <v>19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2</v>
      </c>
      <c r="I22" s="11">
        <f t="shared" si="3"/>
        <v>0</v>
      </c>
      <c r="J22" s="11">
        <f t="shared" si="5"/>
        <v>2</v>
      </c>
    </row>
    <row r="23" spans="1:10" x14ac:dyDescent="0.25">
      <c r="A23" s="5" t="s">
        <v>235</v>
      </c>
      <c r="B23" s="5" t="s">
        <v>155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ht="30" x14ac:dyDescent="0.25">
      <c r="A24" s="5" t="s">
        <v>236</v>
      </c>
      <c r="B24" s="5" t="s">
        <v>237</v>
      </c>
      <c r="C24" s="5" t="s">
        <v>19</v>
      </c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A25" s="5" t="s">
        <v>238</v>
      </c>
      <c r="B25" s="5" t="s">
        <v>43</v>
      </c>
      <c r="C25" s="5" t="s">
        <v>19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A26" s="5" t="s">
        <v>239</v>
      </c>
      <c r="B26" s="5" t="s">
        <v>244</v>
      </c>
      <c r="C26" s="5" t="s">
        <v>11</v>
      </c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2</v>
      </c>
      <c r="H27" s="11">
        <f t="shared" si="3"/>
        <v>2</v>
      </c>
      <c r="I27" s="11">
        <f t="shared" si="3"/>
        <v>0</v>
      </c>
      <c r="J27" s="11">
        <f t="shared" si="5"/>
        <v>4</v>
      </c>
    </row>
    <row r="28" spans="1:10" x14ac:dyDescent="0.25">
      <c r="F28" s="1" t="str">
        <f>IF(ISBLANK(Overall!B11),"",Overall!B11)</f>
        <v>*Confidence*</v>
      </c>
      <c r="G28" s="11">
        <f t="shared" si="4"/>
        <v>0</v>
      </c>
      <c r="H28" s="11">
        <f t="shared" si="3"/>
        <v>0</v>
      </c>
      <c r="I28" s="11">
        <f t="shared" si="3"/>
        <v>0</v>
      </c>
      <c r="J28" s="11">
        <f t="shared" si="5"/>
        <v>0</v>
      </c>
    </row>
    <row r="29" spans="1:10" x14ac:dyDescent="0.25">
      <c r="F29" s="1" t="str">
        <f>IF(ISBLANK(Overall!B12),"",Overall!B12)</f>
        <v>*Scalability*</v>
      </c>
      <c r="G29" s="11">
        <f t="shared" si="4"/>
        <v>2</v>
      </c>
      <c r="H29" s="11">
        <f t="shared" si="3"/>
        <v>0</v>
      </c>
      <c r="I29" s="11">
        <f t="shared" si="3"/>
        <v>0</v>
      </c>
      <c r="J29" s="11">
        <f t="shared" si="5"/>
        <v>2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32"/>
  <sheetViews>
    <sheetView workbookViewId="0">
      <selection activeCell="A22" sqref="A22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240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226</v>
      </c>
      <c r="C2" s="3"/>
      <c r="F2" s="1" t="str">
        <f>IF(ISBLANK(Overall!A3),"",Overall!A3)</f>
        <v>*Context*</v>
      </c>
      <c r="G2" s="11">
        <f>COUNTIFS($B$6:$B$18,$F2,$C$6:$C$18,G$1)</f>
        <v>0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0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0</v>
      </c>
      <c r="I3" s="11">
        <f t="shared" si="1"/>
        <v>0</v>
      </c>
      <c r="J3" s="11">
        <f t="shared" ref="J3:J5" si="2">COUNTIFS($B$6:$B$18,$F3)</f>
        <v>0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1</v>
      </c>
      <c r="I4" s="11">
        <f t="shared" si="1"/>
        <v>0</v>
      </c>
      <c r="J4" s="11">
        <f t="shared" si="2"/>
        <v>1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5" t="s">
        <v>241</v>
      </c>
      <c r="B6" s="5" t="s">
        <v>122</v>
      </c>
      <c r="C6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242</v>
      </c>
      <c r="B21" s="5" t="s">
        <v>43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243</v>
      </c>
      <c r="B22" s="5" t="s">
        <v>244</v>
      </c>
      <c r="C22" s="5" t="s">
        <v>11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1</v>
      </c>
      <c r="H27" s="11">
        <f t="shared" si="3"/>
        <v>0</v>
      </c>
      <c r="I27" s="11">
        <f t="shared" si="3"/>
        <v>0</v>
      </c>
      <c r="J27" s="11">
        <f t="shared" si="5"/>
        <v>1</v>
      </c>
    </row>
    <row r="28" spans="1:10" x14ac:dyDescent="0.25">
      <c r="F28" s="1" t="str">
        <f>IF(ISBLANK(Overall!B11),"",Overall!B11)</f>
        <v>*Confidence*</v>
      </c>
      <c r="G28" s="11">
        <f t="shared" si="4"/>
        <v>0</v>
      </c>
      <c r="H28" s="11">
        <f t="shared" si="3"/>
        <v>0</v>
      </c>
      <c r="I28" s="11">
        <f t="shared" si="3"/>
        <v>0</v>
      </c>
      <c r="J28" s="11">
        <f t="shared" si="5"/>
        <v>0</v>
      </c>
    </row>
    <row r="29" spans="1:10" x14ac:dyDescent="0.25">
      <c r="F29" s="1" t="str">
        <f>IF(ISBLANK(Overall!B12),"",Overall!B12)</f>
        <v>*Scalability*</v>
      </c>
      <c r="G29" s="11">
        <f t="shared" si="4"/>
        <v>1</v>
      </c>
      <c r="H29" s="11">
        <f t="shared" si="3"/>
        <v>0</v>
      </c>
      <c r="I29" s="11">
        <f t="shared" si="3"/>
        <v>0</v>
      </c>
      <c r="J29" s="11">
        <f t="shared" si="5"/>
        <v>1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2"/>
  <sheetViews>
    <sheetView workbookViewId="0">
      <selection activeCell="A30" sqref="A30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204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141</v>
      </c>
      <c r="C2" s="3"/>
      <c r="F2" s="1" t="str">
        <f>IF(ISBLANK(Overall!A3),"",Overall!A3)</f>
        <v>*Context*</v>
      </c>
      <c r="G2" s="11">
        <f>COUNTIFS($B$6:$B$18,$F2,$C$6:$C$18,G$1)</f>
        <v>0</v>
      </c>
      <c r="H2" s="11">
        <f t="shared" ref="H2:I2" si="0">COUNTIFS($B$6:$B$18,$F2,$C$6:$C$18,H$1)</f>
        <v>0</v>
      </c>
      <c r="I2" s="11">
        <f t="shared" si="0"/>
        <v>1</v>
      </c>
      <c r="J2" s="11">
        <f>COUNTIFS($B$6:$B$18,$F2)</f>
        <v>1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1</v>
      </c>
      <c r="I4" s="11">
        <f t="shared" si="1"/>
        <v>0</v>
      </c>
      <c r="J4" s="11">
        <f t="shared" si="2"/>
        <v>1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5" t="s">
        <v>205</v>
      </c>
      <c r="B6" s="5" t="s">
        <v>15</v>
      </c>
      <c r="C6" s="5" t="s">
        <v>38</v>
      </c>
    </row>
    <row r="7" spans="1:10" x14ac:dyDescent="0.25">
      <c r="A7" s="5" t="s">
        <v>299</v>
      </c>
      <c r="B7" s="5" t="s">
        <v>122</v>
      </c>
      <c r="C7" s="5" t="s">
        <v>19</v>
      </c>
    </row>
    <row r="8" spans="1:10" x14ac:dyDescent="0.25">
      <c r="A8" s="5" t="s">
        <v>206</v>
      </c>
      <c r="B8" s="5" t="s">
        <v>22</v>
      </c>
      <c r="C8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207</v>
      </c>
      <c r="B21" s="5" t="s">
        <v>32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208</v>
      </c>
      <c r="B22" s="5" t="s">
        <v>122</v>
      </c>
      <c r="C22" s="5" t="s">
        <v>19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1</v>
      </c>
      <c r="I22" s="11">
        <f t="shared" si="3"/>
        <v>0</v>
      </c>
      <c r="J22" s="11">
        <f t="shared" si="5"/>
        <v>1</v>
      </c>
    </row>
    <row r="23" spans="1:10" x14ac:dyDescent="0.25"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0</v>
      </c>
      <c r="H27" s="11">
        <f t="shared" si="3"/>
        <v>0</v>
      </c>
      <c r="I27" s="11">
        <f t="shared" si="3"/>
        <v>0</v>
      </c>
      <c r="J27" s="11">
        <f t="shared" si="5"/>
        <v>0</v>
      </c>
    </row>
    <row r="28" spans="1:10" x14ac:dyDescent="0.25">
      <c r="F28" s="1" t="str">
        <f>IF(ISBLANK(Overall!B11),"",Overall!B11)</f>
        <v>*Confidence*</v>
      </c>
      <c r="G28" s="11">
        <f t="shared" si="4"/>
        <v>1</v>
      </c>
      <c r="H28" s="11">
        <f t="shared" si="3"/>
        <v>0</v>
      </c>
      <c r="I28" s="11">
        <f t="shared" si="3"/>
        <v>0</v>
      </c>
      <c r="J28" s="11">
        <f t="shared" si="5"/>
        <v>1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32"/>
  <sheetViews>
    <sheetView workbookViewId="0">
      <selection activeCell="A29" sqref="A29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209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141</v>
      </c>
      <c r="C2" s="3"/>
      <c r="F2" s="1" t="str">
        <f>IF(ISBLANK(Overall!A3),"",Overall!A3)</f>
        <v>*Context*</v>
      </c>
      <c r="G2" s="11">
        <f>COUNTIFS($B$6:$B$18,$F2,$C$6:$C$18,G$1)</f>
        <v>0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0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3</v>
      </c>
      <c r="I4" s="11">
        <f t="shared" si="1"/>
        <v>0</v>
      </c>
      <c r="J4" s="11">
        <f t="shared" si="2"/>
        <v>3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1</v>
      </c>
      <c r="H5" s="11">
        <f t="shared" si="1"/>
        <v>0</v>
      </c>
      <c r="I5" s="11">
        <f t="shared" si="1"/>
        <v>0</v>
      </c>
      <c r="J5" s="11">
        <f t="shared" si="2"/>
        <v>1</v>
      </c>
    </row>
    <row r="6" spans="1:10" x14ac:dyDescent="0.25">
      <c r="A6" s="5" t="s">
        <v>210</v>
      </c>
      <c r="B6" s="5" t="s">
        <v>122</v>
      </c>
      <c r="C6" s="5" t="s">
        <v>19</v>
      </c>
    </row>
    <row r="7" spans="1:10" x14ac:dyDescent="0.25">
      <c r="A7" s="5" t="s">
        <v>211</v>
      </c>
      <c r="B7" s="5" t="s">
        <v>122</v>
      </c>
      <c r="C7" s="5" t="s">
        <v>19</v>
      </c>
    </row>
    <row r="8" spans="1:10" x14ac:dyDescent="0.25">
      <c r="A8" s="5" t="s">
        <v>212</v>
      </c>
      <c r="B8" s="5" t="s">
        <v>122</v>
      </c>
      <c r="C8" s="5" t="s">
        <v>19</v>
      </c>
    </row>
    <row r="9" spans="1:10" x14ac:dyDescent="0.25">
      <c r="A9" s="5" t="s">
        <v>217</v>
      </c>
      <c r="B9" s="5" t="s">
        <v>22</v>
      </c>
      <c r="C9" s="5" t="s">
        <v>19</v>
      </c>
    </row>
    <row r="10" spans="1:10" x14ac:dyDescent="0.25">
      <c r="A10" s="5" t="s">
        <v>218</v>
      </c>
      <c r="B10" s="5" t="s">
        <v>16</v>
      </c>
      <c r="C10" s="5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1</v>
      </c>
      <c r="I20" s="11">
        <f t="shared" si="3"/>
        <v>0</v>
      </c>
      <c r="J20" s="11">
        <f>COUNTIFS($B$21:$B$222,$F20)</f>
        <v>1</v>
      </c>
    </row>
    <row r="21" spans="1:10" x14ac:dyDescent="0.25">
      <c r="A21" s="5" t="s">
        <v>213</v>
      </c>
      <c r="B21" s="5" t="s">
        <v>32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214</v>
      </c>
      <c r="B22" s="5" t="s">
        <v>15</v>
      </c>
      <c r="C22" s="5" t="s">
        <v>19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A23" s="5" t="s">
        <v>215</v>
      </c>
      <c r="B23" s="5" t="s">
        <v>155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5" t="s">
        <v>216</v>
      </c>
      <c r="B24" s="5" t="s">
        <v>155</v>
      </c>
      <c r="C24" s="5" t="s">
        <v>11</v>
      </c>
      <c r="F24" s="1" t="str">
        <f>IF(ISBLANK(Overall!B7),"",Overall!B7)</f>
        <v>*Recognition*</v>
      </c>
      <c r="G24" s="11">
        <f t="shared" si="4"/>
        <v>0</v>
      </c>
      <c r="H24" s="11">
        <f t="shared" si="3"/>
        <v>2</v>
      </c>
      <c r="I24" s="11">
        <f t="shared" si="3"/>
        <v>0</v>
      </c>
      <c r="J24" s="11">
        <f t="shared" si="5"/>
        <v>2</v>
      </c>
    </row>
    <row r="25" spans="1:10" x14ac:dyDescent="0.25">
      <c r="A25" s="5" t="s">
        <v>219</v>
      </c>
      <c r="B25" s="5" t="s">
        <v>155</v>
      </c>
      <c r="C25" s="5" t="s">
        <v>11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1</v>
      </c>
      <c r="I25" s="11">
        <f t="shared" si="3"/>
        <v>0</v>
      </c>
      <c r="J25" s="11">
        <f t="shared" si="5"/>
        <v>1</v>
      </c>
    </row>
    <row r="26" spans="1:10" x14ac:dyDescent="0.25">
      <c r="A26" s="5" t="s">
        <v>220</v>
      </c>
      <c r="B26" s="5" t="s">
        <v>32</v>
      </c>
      <c r="C26" s="5" t="s">
        <v>11</v>
      </c>
      <c r="F26" s="1" t="str">
        <f>IF(ISBLANK(Overall!B9),"",Overall!B9)</f>
        <v>*Association*</v>
      </c>
      <c r="G26" s="11">
        <f t="shared" si="4"/>
        <v>0</v>
      </c>
      <c r="H26" s="11">
        <f t="shared" si="3"/>
        <v>1</v>
      </c>
      <c r="I26" s="11">
        <f t="shared" si="3"/>
        <v>0</v>
      </c>
      <c r="J26" s="11">
        <f t="shared" si="5"/>
        <v>1</v>
      </c>
    </row>
    <row r="27" spans="1:10" x14ac:dyDescent="0.25">
      <c r="A27" s="5" t="s">
        <v>221</v>
      </c>
      <c r="B27" s="5" t="s">
        <v>160</v>
      </c>
      <c r="C27" s="5" t="s">
        <v>19</v>
      </c>
      <c r="F27" s="1" t="str">
        <f>IF(ISBLANK(Overall!B10),"",Overall!B10)</f>
        <v>*Action Planning*</v>
      </c>
      <c r="G27" s="11">
        <f t="shared" si="4"/>
        <v>3</v>
      </c>
      <c r="H27" s="11">
        <f t="shared" si="3"/>
        <v>0</v>
      </c>
      <c r="I27" s="11">
        <f t="shared" si="3"/>
        <v>0</v>
      </c>
      <c r="J27" s="11">
        <f t="shared" si="5"/>
        <v>3</v>
      </c>
    </row>
    <row r="28" spans="1:10" x14ac:dyDescent="0.25">
      <c r="A28" s="5" t="s">
        <v>274</v>
      </c>
      <c r="B28" s="5" t="s">
        <v>55</v>
      </c>
      <c r="C28" s="5" t="s">
        <v>19</v>
      </c>
      <c r="F28" s="1" t="str">
        <f>IF(ISBLANK(Overall!B11),"",Overall!B11)</f>
        <v>*Confidence*</v>
      </c>
      <c r="G28" s="11">
        <f t="shared" si="4"/>
        <v>2</v>
      </c>
      <c r="H28" s="11">
        <f t="shared" si="3"/>
        <v>0</v>
      </c>
      <c r="I28" s="11">
        <f t="shared" si="3"/>
        <v>0</v>
      </c>
      <c r="J28" s="11">
        <f t="shared" si="5"/>
        <v>2</v>
      </c>
    </row>
    <row r="29" spans="1:10" x14ac:dyDescent="0.25">
      <c r="A29" s="5" t="s">
        <v>268</v>
      </c>
      <c r="B29" s="5" t="s">
        <v>41</v>
      </c>
      <c r="C29" s="5" t="s">
        <v>19</v>
      </c>
      <c r="F29" s="1" t="str">
        <f>IF(ISBLANK(Overall!B12),"",Overall!B12)</f>
        <v>*Scalability*</v>
      </c>
      <c r="G29" s="11">
        <f t="shared" si="4"/>
        <v>3</v>
      </c>
      <c r="H29" s="11">
        <f t="shared" si="3"/>
        <v>0</v>
      </c>
      <c r="I29" s="11">
        <f t="shared" si="3"/>
        <v>0</v>
      </c>
      <c r="J29" s="11">
        <f t="shared" si="5"/>
        <v>3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32"/>
  <sheetViews>
    <sheetView workbookViewId="0">
      <selection activeCell="A9" sqref="A9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232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141</v>
      </c>
      <c r="C2" s="3"/>
      <c r="F2" s="1" t="str">
        <f>IF(ISBLANK(Overall!A3),"",Overall!A3)</f>
        <v>*Context*</v>
      </c>
      <c r="G2" s="11">
        <f>COUNTIFS($B$6:$B$18,$F2,$C$6:$C$18,G$1)</f>
        <v>1</v>
      </c>
      <c r="H2" s="11">
        <f t="shared" ref="H2:I2" si="0">COUNTIFS($B$6:$B$18,$F2,$C$6:$C$18,H$1)</f>
        <v>1</v>
      </c>
      <c r="I2" s="11">
        <f t="shared" si="0"/>
        <v>0</v>
      </c>
      <c r="J2" s="11">
        <f>COUNTIFS($B$6:$B$18,$F2)</f>
        <v>2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0</v>
      </c>
      <c r="H4" s="11">
        <f t="shared" si="1"/>
        <v>2</v>
      </c>
      <c r="I4" s="11">
        <f t="shared" si="1"/>
        <v>0</v>
      </c>
      <c r="J4" s="11">
        <f t="shared" si="2"/>
        <v>2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x14ac:dyDescent="0.25">
      <c r="A6" s="5" t="s">
        <v>245</v>
      </c>
      <c r="B6" s="5" t="s">
        <v>122</v>
      </c>
      <c r="C6" s="5" t="s">
        <v>19</v>
      </c>
    </row>
    <row r="7" spans="1:10" x14ac:dyDescent="0.25">
      <c r="A7" s="5" t="s">
        <v>246</v>
      </c>
      <c r="B7" s="5" t="s">
        <v>122</v>
      </c>
      <c r="C7" s="5" t="s">
        <v>19</v>
      </c>
    </row>
    <row r="8" spans="1:10" x14ac:dyDescent="0.25">
      <c r="A8" s="5" t="s">
        <v>245</v>
      </c>
      <c r="B8" s="5" t="s">
        <v>22</v>
      </c>
      <c r="C8" s="5" t="s">
        <v>19</v>
      </c>
    </row>
    <row r="9" spans="1:10" x14ac:dyDescent="0.25">
      <c r="A9" s="5" t="s">
        <v>247</v>
      </c>
      <c r="B9" s="5" t="s">
        <v>15</v>
      </c>
      <c r="C9" s="5" t="s">
        <v>11</v>
      </c>
    </row>
    <row r="10" spans="1:10" x14ac:dyDescent="0.25">
      <c r="A10" s="5" t="s">
        <v>248</v>
      </c>
      <c r="B10" s="5" t="s">
        <v>15</v>
      </c>
      <c r="C10" s="5" t="s">
        <v>19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1</v>
      </c>
      <c r="I20" s="11">
        <f t="shared" si="3"/>
        <v>0</v>
      </c>
      <c r="J20" s="11">
        <f>COUNTIFS($B$21:$B$222,$F20)</f>
        <v>1</v>
      </c>
    </row>
    <row r="21" spans="1:10" x14ac:dyDescent="0.25">
      <c r="A21" s="5" t="s">
        <v>245</v>
      </c>
      <c r="B21" s="5" t="s">
        <v>43</v>
      </c>
      <c r="C21" s="5" t="s">
        <v>19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249</v>
      </c>
      <c r="B22" s="5" t="s">
        <v>122</v>
      </c>
      <c r="C22" s="5" t="s">
        <v>11</v>
      </c>
      <c r="F22" s="1" t="str">
        <f>IF(ISBLANK(Overall!B5),"",Overall!B5)</f>
        <v>*Satisfaction*</v>
      </c>
      <c r="G22" s="11">
        <f t="shared" si="4"/>
        <v>1</v>
      </c>
      <c r="H22" s="11">
        <f t="shared" si="3"/>
        <v>1</v>
      </c>
      <c r="I22" s="11">
        <f t="shared" si="3"/>
        <v>0</v>
      </c>
      <c r="J22" s="11">
        <f t="shared" si="5"/>
        <v>2</v>
      </c>
    </row>
    <row r="23" spans="1:10" x14ac:dyDescent="0.25">
      <c r="A23" s="5" t="s">
        <v>251</v>
      </c>
      <c r="B23" s="5" t="s">
        <v>250</v>
      </c>
      <c r="C23" s="5" t="s">
        <v>19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0</v>
      </c>
      <c r="H26" s="11">
        <f t="shared" si="3"/>
        <v>0</v>
      </c>
      <c r="I26" s="11">
        <f t="shared" si="3"/>
        <v>0</v>
      </c>
      <c r="J26" s="11">
        <f t="shared" si="5"/>
        <v>0</v>
      </c>
    </row>
    <row r="27" spans="1:10" x14ac:dyDescent="0.25">
      <c r="F27" s="1" t="str">
        <f>IF(ISBLANK(Overall!B10),"",Overall!B10)</f>
        <v>*Action Planning*</v>
      </c>
      <c r="G27" s="11">
        <f t="shared" si="4"/>
        <v>0</v>
      </c>
      <c r="H27" s="11">
        <f t="shared" si="3"/>
        <v>1</v>
      </c>
      <c r="I27" s="11">
        <f t="shared" si="3"/>
        <v>0</v>
      </c>
      <c r="J27" s="11">
        <f t="shared" si="5"/>
        <v>1</v>
      </c>
    </row>
    <row r="28" spans="1:10" x14ac:dyDescent="0.25">
      <c r="F28" s="1" t="str">
        <f>IF(ISBLANK(Overall!B11),"",Overall!B11)</f>
        <v>*Confidence*</v>
      </c>
      <c r="G28" s="11">
        <f t="shared" si="4"/>
        <v>0</v>
      </c>
      <c r="H28" s="11">
        <f t="shared" si="3"/>
        <v>0</v>
      </c>
      <c r="I28" s="11">
        <f t="shared" si="3"/>
        <v>0</v>
      </c>
      <c r="J28" s="11">
        <f t="shared" si="5"/>
        <v>0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J32"/>
  <sheetViews>
    <sheetView workbookViewId="0">
      <selection activeCell="A9" sqref="A9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254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9</v>
      </c>
      <c r="C2" s="3"/>
      <c r="F2" s="1" t="str">
        <f>IF(ISBLANK(Overall!A3),"",Overall!A3)</f>
        <v>*Context*</v>
      </c>
      <c r="G2" s="11">
        <f>COUNTIFS($B$6:$B$18,$F2,$C$6:$C$18,G$1)</f>
        <v>2</v>
      </c>
      <c r="H2" s="11">
        <f t="shared" ref="H2:I2" si="0">COUNTIFS($B$6:$B$18,$F2,$C$6:$C$18,H$1)</f>
        <v>1</v>
      </c>
      <c r="I2" s="11">
        <f t="shared" si="0"/>
        <v>0</v>
      </c>
      <c r="J2" s="11">
        <f>COUNTIFS($B$6:$B$18,$F2)</f>
        <v>3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0</v>
      </c>
      <c r="I3" s="11">
        <f t="shared" si="1"/>
        <v>0</v>
      </c>
      <c r="J3" s="11">
        <f t="shared" ref="J3:J5" si="2">COUNTIFS($B$6:$B$18,$F3)</f>
        <v>0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2</v>
      </c>
      <c r="H4" s="11">
        <f t="shared" si="1"/>
        <v>2</v>
      </c>
      <c r="I4" s="11">
        <f t="shared" si="1"/>
        <v>0</v>
      </c>
      <c r="J4" s="11">
        <f t="shared" si="2"/>
        <v>4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2</v>
      </c>
      <c r="H5" s="11">
        <f t="shared" si="1"/>
        <v>0</v>
      </c>
      <c r="I5" s="11">
        <f t="shared" si="1"/>
        <v>0</v>
      </c>
      <c r="J5" s="11">
        <f t="shared" si="2"/>
        <v>2</v>
      </c>
    </row>
    <row r="6" spans="1:10" x14ac:dyDescent="0.25">
      <c r="A6" s="5" t="s">
        <v>255</v>
      </c>
      <c r="B6" s="5" t="s">
        <v>122</v>
      </c>
      <c r="C6" s="5" t="s">
        <v>11</v>
      </c>
    </row>
    <row r="7" spans="1:10" x14ac:dyDescent="0.25">
      <c r="A7" s="5" t="s">
        <v>256</v>
      </c>
      <c r="B7" s="5" t="s">
        <v>15</v>
      </c>
      <c r="C7" s="5" t="s">
        <v>11</v>
      </c>
    </row>
    <row r="8" spans="1:10" x14ac:dyDescent="0.25">
      <c r="A8" s="5" t="s">
        <v>257</v>
      </c>
      <c r="B8" s="5" t="s">
        <v>122</v>
      </c>
      <c r="C8" s="5" t="s">
        <v>19</v>
      </c>
    </row>
    <row r="9" spans="1:10" x14ac:dyDescent="0.25">
      <c r="A9" s="5" t="s">
        <v>259</v>
      </c>
      <c r="B9" s="5" t="s">
        <v>16</v>
      </c>
      <c r="C9" s="5" t="s">
        <v>11</v>
      </c>
    </row>
    <row r="10" spans="1:10" x14ac:dyDescent="0.25">
      <c r="A10" s="5" t="s">
        <v>258</v>
      </c>
      <c r="B10" s="5" t="s">
        <v>122</v>
      </c>
      <c r="C10" s="5" t="s">
        <v>19</v>
      </c>
    </row>
    <row r="11" spans="1:10" x14ac:dyDescent="0.25">
      <c r="A11" s="5" t="s">
        <v>262</v>
      </c>
      <c r="B11" s="5" t="s">
        <v>122</v>
      </c>
      <c r="C11" s="5" t="s">
        <v>11</v>
      </c>
    </row>
    <row r="12" spans="1:10" x14ac:dyDescent="0.25">
      <c r="A12" s="5" t="s">
        <v>263</v>
      </c>
      <c r="B12" s="5" t="s">
        <v>16</v>
      </c>
      <c r="C12" s="5" t="s">
        <v>11</v>
      </c>
    </row>
    <row r="13" spans="1:10" x14ac:dyDescent="0.25">
      <c r="A13" s="5" t="s">
        <v>265</v>
      </c>
      <c r="B13" s="5" t="s">
        <v>15</v>
      </c>
      <c r="C13" s="5" t="s">
        <v>19</v>
      </c>
    </row>
    <row r="14" spans="1:10" x14ac:dyDescent="0.25">
      <c r="A14" s="5" t="s">
        <v>267</v>
      </c>
      <c r="B14" s="5" t="s">
        <v>15</v>
      </c>
      <c r="C14" s="5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270</v>
      </c>
      <c r="B21" s="5" t="s">
        <v>43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x14ac:dyDescent="0.25">
      <c r="A22" s="5" t="s">
        <v>271</v>
      </c>
      <c r="B22" s="5" t="s">
        <v>55</v>
      </c>
      <c r="C22" s="5" t="s">
        <v>11</v>
      </c>
      <c r="F22" s="1" t="str">
        <f>IF(ISBLANK(Overall!B5),"",Overall!B5)</f>
        <v>*Satisfaction*</v>
      </c>
      <c r="G22" s="11">
        <f t="shared" si="4"/>
        <v>2</v>
      </c>
      <c r="H22" s="11">
        <f t="shared" si="3"/>
        <v>0</v>
      </c>
      <c r="I22" s="11">
        <f t="shared" si="3"/>
        <v>0</v>
      </c>
      <c r="J22" s="11">
        <f t="shared" si="5"/>
        <v>2</v>
      </c>
    </row>
    <row r="23" spans="1:10" x14ac:dyDescent="0.25">
      <c r="A23" s="5" t="s">
        <v>273</v>
      </c>
      <c r="B23" s="5" t="s">
        <v>41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5" t="s">
        <v>275</v>
      </c>
      <c r="B24" s="5" t="s">
        <v>42</v>
      </c>
      <c r="C24" s="5" t="s">
        <v>11</v>
      </c>
      <c r="F24" s="1" t="str">
        <f>IF(ISBLANK(Overall!B7),"",Overall!B7)</f>
        <v>*Recognition*</v>
      </c>
      <c r="G24" s="11">
        <f t="shared" si="4"/>
        <v>3</v>
      </c>
      <c r="H24" s="11">
        <f t="shared" si="3"/>
        <v>0</v>
      </c>
      <c r="I24" s="11">
        <f t="shared" si="3"/>
        <v>0</v>
      </c>
      <c r="J24" s="11">
        <f t="shared" si="5"/>
        <v>3</v>
      </c>
    </row>
    <row r="25" spans="1:10" x14ac:dyDescent="0.25">
      <c r="A25" s="5" t="s">
        <v>276</v>
      </c>
      <c r="B25" s="5" t="s">
        <v>32</v>
      </c>
      <c r="C25" s="5" t="s">
        <v>11</v>
      </c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A26" s="5" t="s">
        <v>277</v>
      </c>
      <c r="B26" s="5" t="s">
        <v>122</v>
      </c>
      <c r="C26" s="5" t="s">
        <v>11</v>
      </c>
      <c r="F26" s="1" t="str">
        <f>IF(ISBLANK(Overall!B9),"",Overall!B9)</f>
        <v>*Association*</v>
      </c>
      <c r="G26" s="11">
        <f t="shared" si="4"/>
        <v>2</v>
      </c>
      <c r="H26" s="11">
        <f t="shared" si="3"/>
        <v>0</v>
      </c>
      <c r="I26" s="11">
        <f t="shared" si="3"/>
        <v>0</v>
      </c>
      <c r="J26" s="11">
        <f t="shared" si="5"/>
        <v>2</v>
      </c>
    </row>
    <row r="27" spans="1:10" x14ac:dyDescent="0.25">
      <c r="A27" s="5" t="s">
        <v>278</v>
      </c>
      <c r="B27" s="5" t="s">
        <v>279</v>
      </c>
      <c r="C27" s="5" t="s">
        <v>11</v>
      </c>
      <c r="F27" s="1" t="str">
        <f>IF(ISBLANK(Overall!B10),"",Overall!B10)</f>
        <v>*Action Planning*</v>
      </c>
      <c r="G27" s="11">
        <f t="shared" si="4"/>
        <v>1</v>
      </c>
      <c r="H27" s="11">
        <f t="shared" si="3"/>
        <v>0</v>
      </c>
      <c r="I27" s="11">
        <f t="shared" si="3"/>
        <v>0</v>
      </c>
      <c r="J27" s="11">
        <f t="shared" si="5"/>
        <v>1</v>
      </c>
    </row>
    <row r="28" spans="1:10" x14ac:dyDescent="0.25">
      <c r="A28" s="5" t="s">
        <v>280</v>
      </c>
      <c r="B28" s="5" t="s">
        <v>32</v>
      </c>
      <c r="C28" s="5" t="s">
        <v>11</v>
      </c>
      <c r="F28" s="1" t="str">
        <f>IF(ISBLANK(Overall!B11),"",Overall!B11)</f>
        <v>*Confidence*</v>
      </c>
      <c r="G28" s="11">
        <f t="shared" si="4"/>
        <v>2</v>
      </c>
      <c r="H28" s="11">
        <f t="shared" si="3"/>
        <v>0</v>
      </c>
      <c r="I28" s="11">
        <f t="shared" si="3"/>
        <v>0</v>
      </c>
      <c r="J28" s="11">
        <f t="shared" si="5"/>
        <v>2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32"/>
  <sheetViews>
    <sheetView workbookViewId="0">
      <selection activeCell="C15" sqref="C15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260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176</v>
      </c>
      <c r="C2" s="3"/>
      <c r="F2" s="1" t="str">
        <f>IF(ISBLANK(Overall!A3),"",Overall!A3)</f>
        <v>*Context*</v>
      </c>
      <c r="G2" s="11">
        <f>COUNTIFS($B$6:$B$18,$F2,$C$6:$C$18,G$1)</f>
        <v>2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2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1</v>
      </c>
      <c r="H3" s="11">
        <f t="shared" si="1"/>
        <v>0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1</v>
      </c>
      <c r="H4" s="11">
        <f t="shared" si="1"/>
        <v>1</v>
      </c>
      <c r="I4" s="11">
        <f t="shared" si="1"/>
        <v>0</v>
      </c>
      <c r="J4" s="11">
        <f t="shared" si="2"/>
        <v>2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2</v>
      </c>
      <c r="H5" s="11">
        <f t="shared" si="1"/>
        <v>0</v>
      </c>
      <c r="I5" s="11">
        <f t="shared" si="1"/>
        <v>0</v>
      </c>
      <c r="J5" s="11">
        <f t="shared" si="2"/>
        <v>2</v>
      </c>
    </row>
    <row r="6" spans="1:10" x14ac:dyDescent="0.25">
      <c r="A6" s="5" t="s">
        <v>281</v>
      </c>
      <c r="B6" s="5" t="s">
        <v>122</v>
      </c>
      <c r="C6" s="5" t="s">
        <v>19</v>
      </c>
    </row>
    <row r="7" spans="1:10" x14ac:dyDescent="0.25">
      <c r="A7" s="5" t="s">
        <v>282</v>
      </c>
      <c r="B7" s="5" t="s">
        <v>15</v>
      </c>
      <c r="C7" s="5" t="s">
        <v>11</v>
      </c>
    </row>
    <row r="8" spans="1:10" x14ac:dyDescent="0.25">
      <c r="A8" s="5" t="s">
        <v>283</v>
      </c>
      <c r="B8" s="5" t="s">
        <v>15</v>
      </c>
      <c r="C8" s="5" t="s">
        <v>11</v>
      </c>
    </row>
    <row r="9" spans="1:10" x14ac:dyDescent="0.25">
      <c r="A9" s="5" t="s">
        <v>284</v>
      </c>
      <c r="B9" s="5" t="s">
        <v>22</v>
      </c>
      <c r="C9" s="5" t="s">
        <v>11</v>
      </c>
    </row>
    <row r="10" spans="1:10" x14ac:dyDescent="0.25">
      <c r="A10" s="5" t="s">
        <v>285</v>
      </c>
      <c r="B10" s="5" t="s">
        <v>16</v>
      </c>
      <c r="C10" s="5" t="s">
        <v>11</v>
      </c>
    </row>
    <row r="11" spans="1:10" x14ac:dyDescent="0.25">
      <c r="A11" s="5" t="s">
        <v>286</v>
      </c>
      <c r="B11" s="5" t="s">
        <v>173</v>
      </c>
      <c r="C11" s="5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269</v>
      </c>
      <c r="B21" s="5" t="s">
        <v>41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ht="30" x14ac:dyDescent="0.25">
      <c r="A22" s="5" t="s">
        <v>287</v>
      </c>
      <c r="B22" s="5" t="s">
        <v>91</v>
      </c>
      <c r="C22" s="5" t="s">
        <v>11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A23" s="5" t="s">
        <v>288</v>
      </c>
      <c r="B23" s="5" t="s">
        <v>32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F24" s="1" t="str">
        <f>IF(ISBLANK(Overall!B7),"",Overall!B7)</f>
        <v>*Recognition*</v>
      </c>
      <c r="G24" s="11">
        <f t="shared" si="4"/>
        <v>1</v>
      </c>
      <c r="H24" s="11">
        <f t="shared" si="3"/>
        <v>0</v>
      </c>
      <c r="I24" s="11">
        <f t="shared" si="3"/>
        <v>0</v>
      </c>
      <c r="J24" s="11">
        <f t="shared" si="5"/>
        <v>1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1</v>
      </c>
      <c r="H26" s="11">
        <f t="shared" si="3"/>
        <v>0</v>
      </c>
      <c r="I26" s="11">
        <f t="shared" si="3"/>
        <v>0</v>
      </c>
      <c r="J26" s="11">
        <f t="shared" si="5"/>
        <v>1</v>
      </c>
    </row>
    <row r="27" spans="1:10" x14ac:dyDescent="0.25">
      <c r="F27" s="1" t="str">
        <f>IF(ISBLANK(Overall!B10),"",Overall!B10)</f>
        <v>*Action Planning*</v>
      </c>
      <c r="G27" s="11">
        <f t="shared" si="4"/>
        <v>1</v>
      </c>
      <c r="H27" s="11">
        <f t="shared" si="3"/>
        <v>0</v>
      </c>
      <c r="I27" s="11">
        <f t="shared" si="3"/>
        <v>0</v>
      </c>
      <c r="J27" s="11">
        <f t="shared" si="5"/>
        <v>1</v>
      </c>
    </row>
    <row r="28" spans="1:10" x14ac:dyDescent="0.25">
      <c r="F28" s="1" t="str">
        <f>IF(ISBLANK(Overall!B11),"",Overall!B11)</f>
        <v>*Confidence*</v>
      </c>
      <c r="G28" s="11">
        <f t="shared" si="4"/>
        <v>1</v>
      </c>
      <c r="H28" s="11">
        <f t="shared" si="3"/>
        <v>0</v>
      </c>
      <c r="I28" s="11">
        <f t="shared" si="3"/>
        <v>0</v>
      </c>
      <c r="J28" s="11">
        <f t="shared" si="5"/>
        <v>1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J32"/>
  <sheetViews>
    <sheetView workbookViewId="0">
      <selection activeCell="A21" sqref="A21"/>
    </sheetView>
  </sheetViews>
  <sheetFormatPr defaultRowHeight="15" x14ac:dyDescent="0.25"/>
  <cols>
    <col min="1" max="1" width="106.85546875" style="5" customWidth="1"/>
    <col min="2" max="2" width="26.42578125" style="5" customWidth="1"/>
    <col min="3" max="3" width="9" style="5" bestFit="1" customWidth="1"/>
    <col min="4" max="4" width="15.5703125" style="2" customWidth="1"/>
    <col min="6" max="6" width="17" style="1" bestFit="1" customWidth="1"/>
    <col min="7" max="7" width="15.140625" style="11" bestFit="1" customWidth="1"/>
    <col min="8" max="8" width="14.28515625" style="11" bestFit="1" customWidth="1"/>
    <col min="9" max="9" width="14.28515625" style="11" customWidth="1"/>
    <col min="10" max="10" width="15" style="11" bestFit="1" customWidth="1"/>
    <col min="11" max="11" width="8" bestFit="1" customWidth="1"/>
  </cols>
  <sheetData>
    <row r="1" spans="1:10" s="1" customFormat="1" x14ac:dyDescent="0.25">
      <c r="A1" s="3" t="s">
        <v>0</v>
      </c>
      <c r="B1" s="3" t="s">
        <v>261</v>
      </c>
      <c r="C1" s="3"/>
      <c r="F1" s="12" t="s">
        <v>161</v>
      </c>
      <c r="G1" s="13" t="s">
        <v>11</v>
      </c>
      <c r="H1" s="13" t="s">
        <v>19</v>
      </c>
      <c r="I1" s="13" t="s">
        <v>38</v>
      </c>
      <c r="J1" s="13" t="s">
        <v>48</v>
      </c>
    </row>
    <row r="2" spans="1:10" x14ac:dyDescent="0.25">
      <c r="A2" s="3" t="s">
        <v>1</v>
      </c>
      <c r="B2" s="3" t="s">
        <v>125</v>
      </c>
      <c r="C2" s="3"/>
      <c r="F2" s="1" t="str">
        <f>IF(ISBLANK(Overall!A3),"",Overall!A3)</f>
        <v>*Context*</v>
      </c>
      <c r="G2" s="11">
        <f>COUNTIFS($B$6:$B$18,$F2,$C$6:$C$18,G$1)</f>
        <v>1</v>
      </c>
      <c r="H2" s="11">
        <f t="shared" ref="H2:I2" si="0">COUNTIFS($B$6:$B$18,$F2,$C$6:$C$18,H$1)</f>
        <v>0</v>
      </c>
      <c r="I2" s="11">
        <f t="shared" si="0"/>
        <v>0</v>
      </c>
      <c r="J2" s="11">
        <f>COUNTIFS($B$6:$B$18,$F2)</f>
        <v>1</v>
      </c>
    </row>
    <row r="3" spans="1:10" x14ac:dyDescent="0.25">
      <c r="F3" s="1" t="str">
        <f>IF(ISBLANK(Overall!A4),"",Overall!A4)</f>
        <v>*Reuse*</v>
      </c>
      <c r="G3" s="11">
        <f t="shared" ref="G3:I5" si="1">COUNTIFS($B$6:$B$18,$F3,$C$6:$C$18,G$1)</f>
        <v>0</v>
      </c>
      <c r="H3" s="11">
        <f t="shared" si="1"/>
        <v>1</v>
      </c>
      <c r="I3" s="11">
        <f t="shared" si="1"/>
        <v>0</v>
      </c>
      <c r="J3" s="11">
        <f t="shared" ref="J3:J5" si="2">COUNTIFS($B$6:$B$18,$F3)</f>
        <v>1</v>
      </c>
    </row>
    <row r="4" spans="1:10" x14ac:dyDescent="0.25">
      <c r="A4" s="70" t="s">
        <v>15</v>
      </c>
      <c r="B4" s="70"/>
      <c r="C4" s="70"/>
      <c r="F4" s="1" t="str">
        <f>IF(ISBLANK(Overall!A5),"",Overall!A5)</f>
        <v>*Satisfaction*</v>
      </c>
      <c r="G4" s="11">
        <f t="shared" si="1"/>
        <v>3</v>
      </c>
      <c r="H4" s="11">
        <f t="shared" si="1"/>
        <v>0</v>
      </c>
      <c r="I4" s="11">
        <f t="shared" si="1"/>
        <v>0</v>
      </c>
      <c r="J4" s="11">
        <f t="shared" si="2"/>
        <v>3</v>
      </c>
    </row>
    <row r="5" spans="1:10" x14ac:dyDescent="0.25">
      <c r="A5" s="4" t="s">
        <v>2</v>
      </c>
      <c r="B5" s="4" t="s">
        <v>14</v>
      </c>
      <c r="C5" s="4" t="s">
        <v>3</v>
      </c>
      <c r="F5" s="1" t="str">
        <f>IF(ISBLANK(Overall!A6),"",Overall!A6)</f>
        <v>*Syntax*</v>
      </c>
      <c r="G5" s="11">
        <f t="shared" si="1"/>
        <v>0</v>
      </c>
      <c r="H5" s="11">
        <f t="shared" si="1"/>
        <v>0</v>
      </c>
      <c r="I5" s="11">
        <f t="shared" si="1"/>
        <v>0</v>
      </c>
      <c r="J5" s="11">
        <f t="shared" si="2"/>
        <v>0</v>
      </c>
    </row>
    <row r="6" spans="1:10" ht="30" x14ac:dyDescent="0.25">
      <c r="A6" s="5" t="s">
        <v>121</v>
      </c>
      <c r="B6" s="5" t="s">
        <v>122</v>
      </c>
      <c r="C6" s="5" t="s">
        <v>11</v>
      </c>
    </row>
    <row r="7" spans="1:10" x14ac:dyDescent="0.25">
      <c r="A7" s="5" t="s">
        <v>264</v>
      </c>
      <c r="B7" s="5" t="s">
        <v>15</v>
      </c>
      <c r="C7" s="5" t="s">
        <v>11</v>
      </c>
    </row>
    <row r="8" spans="1:10" x14ac:dyDescent="0.25">
      <c r="A8" s="5" t="s">
        <v>289</v>
      </c>
      <c r="B8" s="5" t="s">
        <v>122</v>
      </c>
      <c r="C8" s="5" t="s">
        <v>11</v>
      </c>
    </row>
    <row r="9" spans="1:10" x14ac:dyDescent="0.25">
      <c r="A9" s="5" t="s">
        <v>290</v>
      </c>
      <c r="B9" s="5" t="s">
        <v>22</v>
      </c>
      <c r="C9" s="5" t="s">
        <v>19</v>
      </c>
    </row>
    <row r="10" spans="1:10" x14ac:dyDescent="0.25">
      <c r="A10" s="5" t="s">
        <v>291</v>
      </c>
      <c r="B10" s="5" t="s">
        <v>122</v>
      </c>
      <c r="C10" s="5" t="s">
        <v>11</v>
      </c>
    </row>
    <row r="17" spans="1:10" x14ac:dyDescent="0.25">
      <c r="F17" s="1" t="str">
        <f>IF(ISBLANK(Overall!A18),"",Overall!A18)</f>
        <v/>
      </c>
    </row>
    <row r="18" spans="1:10" x14ac:dyDescent="0.25">
      <c r="F18" s="1" t="str">
        <f>IF(ISBLANK(Overall!A19),"",Overall!A19)</f>
        <v/>
      </c>
    </row>
    <row r="19" spans="1:10" x14ac:dyDescent="0.25">
      <c r="A19" s="67" t="s">
        <v>29</v>
      </c>
      <c r="B19" s="68"/>
      <c r="C19" s="69"/>
      <c r="F19" s="12" t="s">
        <v>161</v>
      </c>
      <c r="G19" s="13" t="s">
        <v>11</v>
      </c>
      <c r="H19" s="13" t="s">
        <v>19</v>
      </c>
      <c r="I19" s="13" t="s">
        <v>38</v>
      </c>
      <c r="J19" s="13" t="s">
        <v>48</v>
      </c>
    </row>
    <row r="20" spans="1:10" x14ac:dyDescent="0.25">
      <c r="A20" s="4" t="s">
        <v>2</v>
      </c>
      <c r="B20" s="4" t="s">
        <v>14</v>
      </c>
      <c r="C20" s="4" t="s">
        <v>3</v>
      </c>
      <c r="F20" s="1" t="str">
        <f>IF(ISBLANK(Overall!B3),"",Overall!B3)</f>
        <v>*Context*</v>
      </c>
      <c r="G20" s="11">
        <f>COUNTIFS($B$21:$B$222,$F20,$C$21:$C$222,G$19)</f>
        <v>0</v>
      </c>
      <c r="H20" s="11">
        <f t="shared" ref="H20:I29" si="3">COUNTIFS($B$21:$B$222,$F20,$C$21:$C$222,H$19)</f>
        <v>0</v>
      </c>
      <c r="I20" s="11">
        <f t="shared" si="3"/>
        <v>0</v>
      </c>
      <c r="J20" s="11">
        <f>COUNTIFS($B$21:$B$222,$F20)</f>
        <v>0</v>
      </c>
    </row>
    <row r="21" spans="1:10" x14ac:dyDescent="0.25">
      <c r="A21" s="5" t="s">
        <v>272</v>
      </c>
      <c r="B21" s="5" t="s">
        <v>32</v>
      </c>
      <c r="C21" s="5" t="s">
        <v>11</v>
      </c>
      <c r="F21" s="1" t="str">
        <f>IF(ISBLANK(Overall!B4),"",Overall!B4)</f>
        <v>*Reuse*</v>
      </c>
      <c r="G21" s="11">
        <f t="shared" ref="G21:G29" si="4">COUNTIFS($B$21:$B$222,$F21,$C$21:$C$222,G$19)</f>
        <v>0</v>
      </c>
      <c r="H21" s="11">
        <f t="shared" si="3"/>
        <v>0</v>
      </c>
      <c r="I21" s="11">
        <f t="shared" si="3"/>
        <v>0</v>
      </c>
      <c r="J21" s="11">
        <f t="shared" ref="J21:J29" si="5">COUNTIFS($B$21:$B$222,$F21)</f>
        <v>0</v>
      </c>
    </row>
    <row r="22" spans="1:10" ht="30" x14ac:dyDescent="0.25">
      <c r="A22" s="5" t="s">
        <v>292</v>
      </c>
      <c r="B22" s="5" t="s">
        <v>91</v>
      </c>
      <c r="C22" s="5" t="s">
        <v>11</v>
      </c>
      <c r="F22" s="1" t="str">
        <f>IF(ISBLANK(Overall!B5),"",Overall!B5)</f>
        <v>*Satisfaction*</v>
      </c>
      <c r="G22" s="11">
        <f t="shared" si="4"/>
        <v>0</v>
      </c>
      <c r="H22" s="11">
        <f t="shared" si="3"/>
        <v>0</v>
      </c>
      <c r="I22" s="11">
        <f t="shared" si="3"/>
        <v>0</v>
      </c>
      <c r="J22" s="11">
        <f t="shared" si="5"/>
        <v>0</v>
      </c>
    </row>
    <row r="23" spans="1:10" x14ac:dyDescent="0.25">
      <c r="A23" s="5" t="s">
        <v>293</v>
      </c>
      <c r="B23" s="5" t="s">
        <v>43</v>
      </c>
      <c r="C23" s="5" t="s">
        <v>11</v>
      </c>
      <c r="F23" s="1" t="str">
        <f>IF(ISBLANK(Overall!B6),"",Overall!B6)</f>
        <v>*Syntax*</v>
      </c>
      <c r="G23" s="11">
        <f t="shared" si="4"/>
        <v>0</v>
      </c>
      <c r="H23" s="11">
        <f t="shared" si="3"/>
        <v>0</v>
      </c>
      <c r="I23" s="11">
        <f t="shared" si="3"/>
        <v>0</v>
      </c>
      <c r="J23" s="11">
        <f t="shared" si="5"/>
        <v>0</v>
      </c>
    </row>
    <row r="24" spans="1:10" x14ac:dyDescent="0.25">
      <c r="A24" s="5" t="s">
        <v>294</v>
      </c>
      <c r="B24" s="5" t="s">
        <v>32</v>
      </c>
      <c r="C24" s="5" t="s">
        <v>11</v>
      </c>
      <c r="F24" s="1" t="str">
        <f>IF(ISBLANK(Overall!B7),"",Overall!B7)</f>
        <v>*Recognition*</v>
      </c>
      <c r="G24" s="11">
        <f t="shared" si="4"/>
        <v>0</v>
      </c>
      <c r="H24" s="11">
        <f t="shared" si="3"/>
        <v>0</v>
      </c>
      <c r="I24" s="11">
        <f t="shared" si="3"/>
        <v>0</v>
      </c>
      <c r="J24" s="11">
        <f t="shared" si="5"/>
        <v>0</v>
      </c>
    </row>
    <row r="25" spans="1:10" x14ac:dyDescent="0.25">
      <c r="F25" s="1" t="str">
        <f>IF(ISBLANK(Overall!B8),"",Overall!B8)</f>
        <v>*Intrusiveness*</v>
      </c>
      <c r="G25" s="11">
        <f t="shared" si="4"/>
        <v>0</v>
      </c>
      <c r="H25" s="11">
        <f t="shared" si="3"/>
        <v>0</v>
      </c>
      <c r="I25" s="11">
        <f t="shared" si="3"/>
        <v>0</v>
      </c>
      <c r="J25" s="11">
        <f t="shared" si="5"/>
        <v>0</v>
      </c>
    </row>
    <row r="26" spans="1:10" x14ac:dyDescent="0.25">
      <c r="F26" s="1" t="str">
        <f>IF(ISBLANK(Overall!B9),"",Overall!B9)</f>
        <v>*Association*</v>
      </c>
      <c r="G26" s="11">
        <f t="shared" si="4"/>
        <v>1</v>
      </c>
      <c r="H26" s="11">
        <f t="shared" si="3"/>
        <v>0</v>
      </c>
      <c r="I26" s="11">
        <f t="shared" si="3"/>
        <v>0</v>
      </c>
      <c r="J26" s="11">
        <f t="shared" si="5"/>
        <v>1</v>
      </c>
    </row>
    <row r="27" spans="1:10" x14ac:dyDescent="0.25">
      <c r="F27" s="1" t="str">
        <f>IF(ISBLANK(Overall!B10),"",Overall!B10)</f>
        <v>*Action Planning*</v>
      </c>
      <c r="G27" s="11">
        <f t="shared" si="4"/>
        <v>2</v>
      </c>
      <c r="H27" s="11">
        <f t="shared" si="3"/>
        <v>0</v>
      </c>
      <c r="I27" s="11">
        <f t="shared" si="3"/>
        <v>0</v>
      </c>
      <c r="J27" s="11">
        <f t="shared" si="5"/>
        <v>2</v>
      </c>
    </row>
    <row r="28" spans="1:10" x14ac:dyDescent="0.25">
      <c r="F28" s="1" t="str">
        <f>IF(ISBLANK(Overall!B11),"",Overall!B11)</f>
        <v>*Confidence*</v>
      </c>
      <c r="G28" s="11">
        <f t="shared" si="4"/>
        <v>2</v>
      </c>
      <c r="H28" s="11">
        <f t="shared" si="3"/>
        <v>0</v>
      </c>
      <c r="I28" s="11">
        <f t="shared" si="3"/>
        <v>0</v>
      </c>
      <c r="J28" s="11">
        <f t="shared" si="5"/>
        <v>2</v>
      </c>
    </row>
    <row r="29" spans="1:10" x14ac:dyDescent="0.25">
      <c r="F29" s="1" t="str">
        <f>IF(ISBLANK(Overall!B12),"",Overall!B12)</f>
        <v>*Scalability*</v>
      </c>
      <c r="G29" s="11">
        <f t="shared" si="4"/>
        <v>0</v>
      </c>
      <c r="H29" s="11">
        <f t="shared" si="3"/>
        <v>0</v>
      </c>
      <c r="I29" s="11">
        <f t="shared" si="3"/>
        <v>0</v>
      </c>
      <c r="J29" s="11">
        <f t="shared" si="5"/>
        <v>0</v>
      </c>
    </row>
    <row r="30" spans="1:10" x14ac:dyDescent="0.25">
      <c r="F30" s="1" t="str">
        <f>IF(ISBLANK(Overall!B13),"",Overall!B13)</f>
        <v/>
      </c>
    </row>
    <row r="31" spans="1:10" x14ac:dyDescent="0.25">
      <c r="F31" s="1" t="str">
        <f>IF(ISBLANK(Overall!B14),"",Overall!B14)</f>
        <v/>
      </c>
    </row>
    <row r="32" spans="1:10" x14ac:dyDescent="0.25">
      <c r="F32" s="1" t="str">
        <f>IF(ISBLANK(Overall!B15),"",Overall!B15)</f>
        <v/>
      </c>
    </row>
  </sheetData>
  <mergeCells count="2">
    <mergeCell ref="A4:C4"/>
    <mergeCell ref="A19:C19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306DD-03E8-42B8-B5F9-E5F0F877B2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Overall</vt:lpstr>
      <vt:lpstr>P (1)</vt:lpstr>
      <vt:lpstr>P (2)</vt:lpstr>
      <vt:lpstr>P (3)</vt:lpstr>
      <vt:lpstr>P (4)</vt:lpstr>
      <vt:lpstr>P (5)</vt:lpstr>
      <vt:lpstr>P (6)</vt:lpstr>
      <vt:lpstr>P (7)</vt:lpstr>
      <vt:lpstr>P (8)</vt:lpstr>
      <vt:lpstr>P (9)</vt:lpstr>
      <vt:lpstr>P (10)</vt:lpstr>
      <vt:lpstr>P (11)</vt:lpstr>
      <vt:lpstr>P (12)</vt:lpstr>
      <vt:lpstr>P (13)</vt:lpstr>
      <vt:lpstr>P (14)</vt:lpstr>
      <vt:lpstr>P (15)</vt:lpstr>
      <vt:lpstr>P (16)</vt:lpstr>
      <vt:lpstr>P (17)</vt:lpstr>
      <vt:lpstr>P (18)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Parsa Pourali</dc:creator>
  <cp:lastModifiedBy>Parsa</cp:lastModifiedBy>
  <dcterms:created xsi:type="dcterms:W3CDTF">2019-11-26T14:25:03Z</dcterms:created>
  <dcterms:modified xsi:type="dcterms:W3CDTF">2020-10-25T14:45:20Z</dcterms:modified>
</cp:coreProperties>
</file>
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8\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<sst xmlns="http://schemas.openxmlformats.org/spreadsheetml/2006/main" count="343" uniqueCount="92">
  <si>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</si>
  <si>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</si>
  <si>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</si>
  <si>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</si>
  <si>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</si>
  <si>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</si>
  <si>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</si>
  <si>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</si>
  <si>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</si>
  <si>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</si>
  <si>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</si>
  <si>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</si>
  <si>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</si>
  <si>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</si>
  <si>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</si>
  <si>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</si>
  <si>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</si>
  <si>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</si>
  <si>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</si>
  <si>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</si>
  <si>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</si>
  <si>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</si>
  <si>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</si>
  <si>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</si>
  <si>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</si>
  <si>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</si>
  <si>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</si>
  <si>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</si>
  <si>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</si>
  <si>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</si>
  <si>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</si>
  <si>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</si>
  <si>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</si>
  <si>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</si>
  <si>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</si>
  <si>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</si>
  <si>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</si>
  <si>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</si>
  <si>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</si>
  <si>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</si>
  <si>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</si>
  <si>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</si>
  <si>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</si>
  <si>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</si>
  <si>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</si>
  <si>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</si>
  <si>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</si>
  <si>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</si>
  <si>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</si>
  <si>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</si>
  <si>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</si>
  <si>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</si>
  <si>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</si>
  <si>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</si>
  <si>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</si>
  <si>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</si>
  <si>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</si>
  <si>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</si>
  <si>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</si>
  <si>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</si>
  <si>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</si>
  <si>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</si>
  <si>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</si>
  <si>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</si>
  <si>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</si>
  <si>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</si>
  <si>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</si>
  <si>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</si>
  <si>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</si>
  <si>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</si>
  <si>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</si>
  <si>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</si>
  <si>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</si>
  <si>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P8</t>
  </si>
  <si>
    <t>FormlDesigner</t>
  </si>
  <si>
    <t>na</t>
  </si>
  <si>
    <t>Thank you!</t>
  </si>
  <si>
    <t>GB</t>
  </si>
  <si>
    <t>GD</t>
  </si>
  <si>
    <t>GC</t>
  </si>
  <si>
    <t>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</si>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</sst>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1" sqref="B1"/>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43475.423657407409</v>
      </c>
    </row>
    <row r="5" spans="1:2" ht="28.5" x14ac:dyDescent="0.45">
      <c r="A5" s="1" t="s">
        <v>31</v>
      </c>
      <c r="B5" s="17">
        <v>43475.4609375</v>
      </c>
    </row>
    <row r="6" spans="1:2" ht="28.5" x14ac:dyDescent="0.45">
      <c r="A6" s="1" t="s">
        <v>32</v>
      </c>
      <c r="B6" s="18">
        <f>B5-B4</f>
        <v>3.7280092590663116E-2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79" workbookViewId="0">
      <selection activeCell="A105" sqref="A105:O105"/>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3</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3</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3</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3</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3</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4</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4</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4</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5</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J16" sqref="J16"/>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1.8634259259259261E-3</v>
      </c>
      <c r="D1" s="34"/>
      <c r="E1" s="33"/>
      <c r="F1" s="33"/>
      <c r="G1" s="33"/>
      <c r="H1" s="33"/>
      <c r="I1" s="33"/>
      <c r="J1" s="33"/>
      <c r="K1" s="33"/>
      <c r="L1" s="33"/>
      <c r="M1" s="33"/>
      <c r="N1" s="74" t="s">
        <v>62</v>
      </c>
      <c r="O1" s="74"/>
      <c r="P1" s="35">
        <f ca="1">IF(Welcome!$B$4&lt;&gt;"",IF(Welcome!$B$5="",NOW()-Welcome!$B$4,Welcome!$B$6),"")</f>
        <v>3.7280092590663116E-2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3</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1</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L18" sqref="L18"/>
    </sheetView>
  </sheetViews>
  <sheetFormatPr defaultRowHeight="15" x14ac:dyDescent="0.25"/>
  <cols>
    <col min="16" max="16" width="12.7109375" bestFit="1" customWidth="1"/>
  </cols>
  <sheetData>
    <row r="1" spans="1:16" x14ac:dyDescent="0.25">
      <c r="A1" s="74" t="s">
        <v>61</v>
      </c>
      <c r="B1" s="74"/>
      <c r="C1" s="35">
        <f>Timings!$B$2</f>
        <v>1.8518518518518517E-3</v>
      </c>
      <c r="D1" s="34"/>
      <c r="E1" s="33"/>
      <c r="F1" s="33"/>
      <c r="G1" s="33"/>
      <c r="H1" s="33"/>
      <c r="I1" s="33"/>
      <c r="J1" s="33"/>
      <c r="K1" s="33"/>
      <c r="L1" s="33"/>
      <c r="M1" s="33"/>
      <c r="N1" s="74" t="s">
        <v>62</v>
      </c>
      <c r="O1" s="74"/>
      <c r="P1" s="35">
        <f ca="1">IF(Welcome!$B$4&lt;&gt;"",IF(Welcome!$B$5="",NOW()-Welcome!$B$4,Welcome!$B$6),"")</f>
        <v>3.7280092590663116E-2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3</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L18" sqref="L18"/>
    </sheetView>
  </sheetViews>
  <sheetFormatPr defaultRowHeight="15" x14ac:dyDescent="0.25"/>
  <cols>
    <col min="16" max="16" width="12.7109375" bestFit="1" customWidth="1"/>
  </cols>
  <sheetData>
    <row r="1" spans="1:16" x14ac:dyDescent="0.25">
      <c r="A1" s="74" t="s">
        <v>61</v>
      </c>
      <c r="B1" s="74"/>
      <c r="C1" s="35">
        <f>Timings!$B$3</f>
        <v>2.1064814814814813E-3</v>
      </c>
      <c r="D1" s="34"/>
      <c r="E1" s="33"/>
      <c r="F1" s="33"/>
      <c r="G1" s="33"/>
      <c r="H1" s="33"/>
      <c r="I1" s="33"/>
      <c r="J1" s="33"/>
      <c r="K1" s="33"/>
      <c r="L1" s="33"/>
      <c r="M1" s="33"/>
      <c r="N1" s="74" t="s">
        <v>62</v>
      </c>
      <c r="O1" s="74"/>
      <c r="P1" s="35">
        <f ca="1">IF(Welcome!$B$4&lt;&gt;"",IF(Welcome!$B$5="",NOW()-Welcome!$B$4,Welcome!$B$6),"")</f>
        <v>3.7280092590663116E-2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L16" sqref="L16"/>
    </sheetView>
  </sheetViews>
  <sheetFormatPr defaultRowHeight="15" x14ac:dyDescent="0.25"/>
  <cols>
    <col min="16" max="16" width="12.7109375" bestFit="1" customWidth="1"/>
  </cols>
  <sheetData>
    <row r="1" spans="1:16" x14ac:dyDescent="0.25">
      <c r="A1" s="74" t="s">
        <v>61</v>
      </c>
      <c r="B1" s="74"/>
      <c r="C1" s="35">
        <f>Timings!$B$4</f>
        <v>1.6319444444444445E-3</v>
      </c>
      <c r="D1" s="34"/>
      <c r="E1" s="33"/>
      <c r="F1" s="33"/>
      <c r="G1" s="33"/>
      <c r="H1" s="33"/>
      <c r="I1" s="33"/>
      <c r="J1" s="33"/>
      <c r="K1" s="33"/>
      <c r="L1" s="33"/>
      <c r="M1" s="33"/>
      <c r="N1" s="74" t="s">
        <v>62</v>
      </c>
      <c r="O1" s="74"/>
      <c r="P1" s="35">
        <f ca="1">IF(Welcome!$B$4&lt;&gt;"",IF(Welcome!$B$5="",NOW()-Welcome!$B$4,Welcome!$B$6),"")</f>
        <v>3.7280092590663116E-2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L17" sqref="L17"/>
    </sheetView>
  </sheetViews>
  <sheetFormatPr defaultRowHeight="15" x14ac:dyDescent="0.25"/>
  <cols>
    <col min="16" max="16" width="12.7109375" bestFit="1" customWidth="1"/>
  </cols>
  <sheetData>
    <row r="1" spans="1:16" x14ac:dyDescent="0.25">
      <c r="A1" s="74" t="s">
        <v>61</v>
      </c>
      <c r="B1" s="74"/>
      <c r="C1" s="35">
        <f>Timings!$B$5</f>
        <v>6.5972222222222213E-4</v>
      </c>
      <c r="D1" s="34"/>
      <c r="E1" s="33"/>
      <c r="F1" s="33"/>
      <c r="G1" s="33"/>
      <c r="H1" s="33"/>
      <c r="I1" s="33"/>
      <c r="J1" s="33"/>
      <c r="K1" s="33"/>
      <c r="L1" s="33"/>
      <c r="M1" s="33"/>
      <c r="N1" s="74" t="s">
        <v>62</v>
      </c>
      <c r="O1" s="74"/>
      <c r="P1" s="35">
        <f ca="1">IF(Welcome!$B$4&lt;&gt;"",IF(Welcome!$B$5="",NOW()-Welcome!$B$4,Welcome!$B$6),"")</f>
        <v>3.7280092590663116E-2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L16" sqref="L16"/>
    </sheetView>
  </sheetViews>
  <sheetFormatPr defaultRowHeight="15" x14ac:dyDescent="0.25"/>
  <cols>
    <col min="16" max="16" width="12.7109375" bestFit="1" customWidth="1"/>
  </cols>
  <sheetData>
    <row r="1" spans="1:16" x14ac:dyDescent="0.25">
      <c r="A1" s="74" t="s">
        <v>61</v>
      </c>
      <c r="B1" s="74"/>
      <c r="C1" s="35">
        <f>Timings!$B$6</f>
        <v>1.2384259259259258E-3</v>
      </c>
      <c r="D1" s="34"/>
      <c r="E1" s="33"/>
      <c r="F1" s="33"/>
      <c r="G1" s="33"/>
      <c r="H1" s="33"/>
      <c r="I1" s="33"/>
      <c r="J1" s="33"/>
      <c r="K1" s="33"/>
      <c r="L1" s="33"/>
      <c r="M1" s="33"/>
      <c r="N1" s="74" t="s">
        <v>62</v>
      </c>
      <c r="O1" s="74"/>
      <c r="P1" s="35">
        <f ca="1">IF(Welcome!$B$4&lt;&gt;"",IF(Welcome!$B$5="",NOW()-Welcome!$B$4,Welcome!$B$6),"")</f>
        <v>3.7280092590663116E-2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M18" sqref="M17:M18"/>
    </sheetView>
  </sheetViews>
  <sheetFormatPr defaultRowHeight="15" x14ac:dyDescent="0.25"/>
  <cols>
    <col min="16" max="16" width="12.7109375" bestFit="1" customWidth="1"/>
  </cols>
  <sheetData>
    <row r="1" spans="1:16" x14ac:dyDescent="0.25">
      <c r="A1" s="74" t="s">
        <v>61</v>
      </c>
      <c r="B1" s="74"/>
      <c r="C1" s="35">
        <f>Timings!$B$7</f>
        <v>1.8287037037037037E-3</v>
      </c>
      <c r="D1" s="34"/>
      <c r="E1" s="33"/>
      <c r="F1" s="33"/>
      <c r="G1" s="33"/>
      <c r="H1" s="33"/>
      <c r="I1" s="33"/>
      <c r="J1" s="33"/>
      <c r="K1" s="33"/>
      <c r="L1" s="33"/>
      <c r="M1" s="33"/>
      <c r="N1" s="74" t="s">
        <v>62</v>
      </c>
      <c r="O1" s="74"/>
      <c r="P1" s="35">
        <f ca="1">IF(Welcome!$B$4&lt;&gt;"",IF(Welcome!$B$5="",NOW()-Welcome!$B$4,Welcome!$B$6),"")</f>
        <v>3.7280092590663116E-2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L18" sqref="L18"/>
    </sheetView>
  </sheetViews>
  <sheetFormatPr defaultRowHeight="15" x14ac:dyDescent="0.25"/>
  <cols>
    <col min="16" max="16" width="12.7109375" bestFit="1" customWidth="1"/>
  </cols>
  <sheetData>
    <row r="1" spans="1:16" x14ac:dyDescent="0.25">
      <c r="A1" s="74" t="s">
        <v>61</v>
      </c>
      <c r="B1" s="74"/>
      <c r="C1" s="35">
        <f>Timings!$B$8</f>
        <v>1.4467592592592594E-3</v>
      </c>
      <c r="D1" s="34"/>
      <c r="E1" s="33"/>
      <c r="F1" s="33"/>
      <c r="G1" s="33"/>
      <c r="H1" s="33"/>
      <c r="I1" s="33"/>
      <c r="J1" s="33"/>
      <c r="K1" s="33"/>
      <c r="L1" s="33"/>
      <c r="M1" s="33"/>
      <c r="N1" s="74" t="s">
        <v>62</v>
      </c>
      <c r="O1" s="74"/>
      <c r="P1" s="35">
        <f ca="1">IF(Welcome!$B$4&lt;&gt;"",IF(Welcome!$B$5="",NOW()-Welcome!$B$4,Welcome!$B$6),"")</f>
        <v>3.7280092590663116E-2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N18" sqref="N18"/>
    </sheetView>
  </sheetViews>
  <sheetFormatPr defaultRowHeight="15" x14ac:dyDescent="0.25"/>
  <cols>
    <col min="16" max="16" width="12.7109375" bestFit="1" customWidth="1"/>
  </cols>
  <sheetData>
    <row r="1" spans="1:16" x14ac:dyDescent="0.25">
      <c r="A1" s="74" t="s">
        <v>61</v>
      </c>
      <c r="B1" s="74"/>
      <c r="C1" s="35">
        <f>Timings!$B$9</f>
        <v>8.1597222222222227E-3</v>
      </c>
      <c r="D1" s="34"/>
      <c r="E1" s="33"/>
      <c r="F1" s="33"/>
      <c r="G1" s="33"/>
      <c r="H1" s="33"/>
      <c r="I1" s="33"/>
      <c r="J1" s="33"/>
      <c r="K1" s="33"/>
      <c r="L1" s="33"/>
      <c r="M1" s="33"/>
      <c r="N1" s="74" t="s">
        <v>62</v>
      </c>
      <c r="O1" s="74"/>
      <c r="P1" s="35">
        <f ca="1">IF(Welcome!$B$4&lt;&gt;"",IF(Welcome!$B$5="",NOW()-Welcome!$B$4,Welcome!$B$6),"")</f>
        <v>3.7280092590663116E-2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A7" sqref="A7:O7"/>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5</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R27" sqref="R27"/>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5</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5</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2</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1</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t="s">
        <v>75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t="s">
        <v>75</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3</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2</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1.8634259259259261E-3</v>
      </c>
    </row>
    <row r="2" spans="1:6" x14ac:dyDescent="0.25">
      <c r="A2" s="20" t="s">
        <v>23</v>
      </c>
      <c r="B2" s="21">
        <v>1.8518518518518517E-3</v>
      </c>
    </row>
    <row r="3" spans="1:6" x14ac:dyDescent="0.25">
      <c r="A3" s="20" t="s">
        <v>24</v>
      </c>
      <c r="B3" s="21">
        <v>2.1064814814814813E-3</v>
      </c>
    </row>
    <row r="4" spans="1:6" x14ac:dyDescent="0.25">
      <c r="A4" s="20" t="s">
        <v>25</v>
      </c>
      <c r="B4" s="21">
        <v>1.6319444444444445E-3</v>
      </c>
    </row>
    <row r="5" spans="1:6" x14ac:dyDescent="0.25">
      <c r="A5" s="20" t="s">
        <v>26</v>
      </c>
      <c r="B5" s="21">
        <v>6.5972222222222213E-4</v>
      </c>
    </row>
    <row r="6" spans="1:6" x14ac:dyDescent="0.25">
      <c r="A6" s="20" t="s">
        <v>27</v>
      </c>
      <c r="B6" s="21">
        <v>1.2384259259259258E-3</v>
      </c>
    </row>
    <row r="7" spans="1:6" x14ac:dyDescent="0.25">
      <c r="A7" s="20" t="s">
        <v>28</v>
      </c>
      <c r="B7" s="21">
        <v>1.8287037037037037E-3</v>
      </c>
    </row>
    <row r="8" spans="1:6" x14ac:dyDescent="0.25">
      <c r="A8" s="20" t="s">
        <v>29</v>
      </c>
      <c r="B8" s="21">
        <v>1.4467592592592594E-3</v>
      </c>
    </row>
    <row r="9" spans="1:6" x14ac:dyDescent="0.25">
      <c r="A9" s="20" t="s">
        <v>66</v>
      </c>
      <c r="B9" s="21">
        <v>8.1597222222222227E-3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D11" sqref="D3:D11"/>
    </sheetView>
  </sheetViews>
  <sheetFormatPr defaultRowHeight="15" x14ac:dyDescent="0.25"/>
  <cols>
    <col min="3" max="3" width="89" customWidth="1"/>
    <col min="4" max="4" width="119.140625" customWidth="1"/>
  </cols>
  <sheetData>
    <row r="1" spans="1:4" ht="19.5" thickBot="1" x14ac:dyDescent="0.35">
      <c r="A1" s="79" t="str">
        <f>Welcome!B1</f>
        <v>P8</v>
      </c>
      <c r="B1" s="79"/>
      <c r="C1" s="79"/>
      <c r="D1" s="79"/>
    </row>
    <row r="2" spans="1:4" ht="15.75" thickBot="1" x14ac:dyDescent="0.3">
      <c r="A2" s="39" t="s">
        <v>69</v>
      </c>
      <c r="B2" s="39" t="s">
        <v>70</v>
      </c>
      <c r="C2" s="39" t="s">
        <v>71</v>
      </c>
      <c r="D2" s="46" t="s">
        <v>72</v>
      </c>
    </row>
    <row r="3" spans="1:4" x14ac:dyDescent="0.25">
      <c r="A3" s="40" t="s">
        <v>22</v>
      </c>
      <c r="B3" s="43">
        <v>1</v>
      </c>
      <c r="C3" s="43"/>
      <c r="D3" s="47" t="s">
        <v>77</v>
      </c>
    </row>
    <row r="4" spans="1:4" x14ac:dyDescent="0.25">
      <c r="A4" s="41" t="s">
        <v>23</v>
      </c>
      <c r="B4" s="44">
        <v>1</v>
      </c>
      <c r="C4" s="44"/>
      <c r="D4" s="48" t="s">
        <v>77</v>
      </c>
    </row>
    <row r="5" spans="1:4" x14ac:dyDescent="0.25">
      <c r="A5" s="41" t="s">
        <v>24</v>
      </c>
      <c r="B5" s="44">
        <v>1</v>
      </c>
      <c r="C5" s="44"/>
      <c r="D5" s="48" t="s">
        <v>78</v>
      </c>
    </row>
    <row r="6" spans="1:4" x14ac:dyDescent="0.25">
      <c r="A6" s="41" t="s">
        <v>25</v>
      </c>
      <c r="B6" s="44">
        <v>1</v>
      </c>
      <c r="C6" s="44"/>
      <c r="D6" s="48" t="s">
        <v>78</v>
      </c>
    </row>
    <row r="7" spans="1:4" x14ac:dyDescent="0.25">
      <c r="A7" s="41" t="s">
        <v>26</v>
      </c>
      <c r="B7" s="44">
        <v>1</v>
      </c>
      <c r="C7" s="44"/>
      <c r="D7" s="48" t="s">
        <v>78</v>
      </c>
    </row>
    <row r="8" spans="1:4" x14ac:dyDescent="0.25">
      <c r="A8" s="41" t="s">
        <v>27</v>
      </c>
      <c r="B8" s="44">
        <v>1</v>
      </c>
      <c r="C8" s="44"/>
      <c r="D8" s="48" t="s">
        <v>79</v>
      </c>
    </row>
    <row r="9" spans="1:4" x14ac:dyDescent="0.25">
      <c r="A9" s="41" t="s">
        <v>28</v>
      </c>
      <c r="B9" s="44">
        <v>1</v>
      </c>
      <c r="C9" s="44"/>
      <c r="D9" s="48" t="s">
        <v>77</v>
      </c>
    </row>
    <row r="10" spans="1:4" x14ac:dyDescent="0.25">
      <c r="A10" s="41" t="s">
        <v>29</v>
      </c>
      <c r="B10" s="44">
        <v>1</v>
      </c>
      <c r="C10" s="44"/>
      <c r="D10" s="48" t="s">
        <v>77</v>
      </c>
    </row>
    <row r="11" spans="1:4" ht="15.75" thickBot="1" x14ac:dyDescent="0.3">
      <c r="A11" s="42" t="s">
        <v>66</v>
      </c>
      <c r="B11" s="45">
        <v>0.5</v>
      </c>
      <c r="C11" s="45"/>
      <c r="D11" s="49" t="s">
        <v>80</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81</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3</v>
      </c>
      <c r="B3">
        <f>Task2!H10</f>
        <v>3</v>
      </c>
      <c r="C3">
        <f>Task3!H10</f>
        <v>3</v>
      </c>
      <c r="D3">
        <f>Task4!H10</f>
        <v>3</v>
      </c>
      <c r="E3">
        <f>Task5!H10</f>
        <v>3</v>
      </c>
      <c r="F3">
        <f>Task6!H10</f>
        <v>4</v>
      </c>
      <c r="G3">
        <f>Task7!H10</f>
        <v>4</v>
      </c>
      <c r="H3">
        <f>Task8!H10</f>
        <v>4</v>
      </c>
      <c r="I3">
        <f>Task9!H10</f>
        <v>5</v>
      </c>
    </row>
    <row r="4" spans="1:9" x14ac:dyDescent="0.25">
      <c r="A4">
        <f>Task1!H13</f>
        <v>1</v>
      </c>
      <c r="B4">
        <f>Task2!H14</f>
        <v>2</v>
      </c>
      <c r="C4">
        <f>Task3!H14</f>
        <v>3</v>
      </c>
      <c r="D4">
        <f>Task4!H14</f>
        <v>2</v>
      </c>
      <c r="E4">
        <f>Task5!H14</f>
        <v>1</v>
      </c>
      <c r="F4">
        <f>Task6!H14</f>
        <v>2</v>
      </c>
      <c r="G4">
        <f>Task7!H14</f>
        <v>3</v>
      </c>
      <c r="H4">
        <f>Task8!H14</f>
        <v>1</v>
      </c>
      <c r="I4">
        <f>Task9!H14</f>
        <v>4</v>
      </c>
    </row>
    <row r="6" spans="1:9" x14ac:dyDescent="0.25">
      <c r="A6" s="63" t="s">
        <v>82</v>
      </c>
      <c r="B6" s="63"/>
      <c r="C6" s="63"/>
      <c r="D6" s="63"/>
      <c r="E6" s="63"/>
      <c r="F6" s="63"/>
      <c r="G6" s="63"/>
      <c r="H6" s="63"/>
      <c r="I6" s="63"/>
    </row>
    <row r="7" spans="1:9" x14ac:dyDescent="0.25">
      <c r="A7" t="s">
        <v>83</v>
      </c>
      <c r="B7" t="s">
        <v>84</v>
      </c>
      <c r="C7" t="s">
        <v>85</v>
      </c>
      <c r="D7" t="s">
        <v>86</v>
      </c>
      <c r="E7" t="s">
        <v>87</v>
      </c>
      <c r="F7" t="s">
        <v>88</v>
      </c>
      <c r="G7" t="s">
        <v>89</v>
      </c>
      <c r="H7" t="s">
        <v>90</v>
      </c>
      <c r="I7" t="s">
        <v>91</v>
      </c>
    </row>
    <row r="8" spans="1:9" x14ac:dyDescent="0.25">
      <c r="A8">
        <f>ExperienceRating!H4</f>
        <v>5</v>
      </c>
      <c r="B8">
        <f>UMUX!H4</f>
        <v>5</v>
      </c>
      <c r="C8">
        <f>UMUX!H8</f>
        <v>5</v>
      </c>
      <c r="D8">
        <f>UMUX!H13</f>
        <v>2</v>
      </c>
      <c r="E8">
        <f>UMUX!H16</f>
        <v>1</v>
      </c>
      <c r="F8" t="str">
        <f>UMUX!H19</f>
        <v>na</v>
      </c>
      <c r="G8" t="str">
        <f>UMUX!H22</f>
        <v>na</v>
      </c>
      <c r="H8">
        <f>UMUX!H25</f>
        <v>3</v>
      </c>
      <c r="I8">
        <f>UMUX!H28</f>
        <v>2</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2019-03-11T19:05:40Z</dcterms:modified>
</cp:coreProperties>
</file>
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1\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<sst xmlns="http://schemas.openxmlformats.org/spreadsheetml/2006/main" count="342" uniqueCount="93">
  <si>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</si>
  <si>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</si>
  <si>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</si>
  <si>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</si>
  <si>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</si>
  <si>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</si>
  <si>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</si>
  <si>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</si>
  <si>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</si>
  <si>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</si>
  <si>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</si>
  <si>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</si>
  <si>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</si>
  <si>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</si>
  <si>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</si>
  <si>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</si>
  <si>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</si>
  <si>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</si>
  <si>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</si>
  <si>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</si>
  <si>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</si>
  <si>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</si>
  <si>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</si>
  <si>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</si>
  <si>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</si>
  <si>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</si>
  <si>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</si>
  <si>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</si>
  <si>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</si>
  <si>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</si>
  <si>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</si>
  <si>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</si>
  <si>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</si>
  <si>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</si>
  <si>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</si>
  <si>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</si>
  <si>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</si>
  <si>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</si>
  <si>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</si>
  <si>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</si>
  <si>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</si>
  <si>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</si>
  <si>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</si>
  <si>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</si>
  <si>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</si>
  <si>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</si>
  <si>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</si>
  <si>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</si>
  <si>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</si>
  <si>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</si>
  <si>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</si>
  <si>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</si>
  <si>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</si>
  <si>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</si>
  <si>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</si>
  <si>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</si>
  <si>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</si>
  <si>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</si>
  <si>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</si>
  <si>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</si>
  <si>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</si>
  <si>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</si>
  <si>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</si>
  <si>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</si>
  <si>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</si>
  <si>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</si>
  <si>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</si>
  <si>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</si>
  <si>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</si>
  <si>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</si>
  <si>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</si>
  <si>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</si>
  <si>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</si>
  <si>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P11</t>
  </si>
  <si>
    <t>FormlDesigner</t>
  </si>
  <si>
    <t>NA</t>
  </si>
  <si>
    <t>Thank you!</t>
  </si>
  <si>
    <t>GB</t>
  </si>
  <si>
    <t>GD</t>
  </si>
  <si>
    <t>GC</t>
  </si>
  <si>
    <t>GB,GD</t>
  </si>
  <si>
    <t>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</si>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</sst>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J8" sqref="J8"/>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43488.419618055559</v>
      </c>
    </row>
    <row r="5" spans="1:2" ht="28.5" x14ac:dyDescent="0.45">
      <c r="A5" s="1" t="s">
        <v>31</v>
      </c>
      <c r="B5" s="17">
        <v>43488.495162037034</v>
      </c>
    </row>
    <row r="6" spans="1:2" ht="28.5" x14ac:dyDescent="0.45">
      <c r="A6" s="1" t="s">
        <v>32</v>
      </c>
      <c r="B6" s="18">
        <f>B5-B4</f>
        <v>7.5543981474766042E-2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K22" sqref="K22"/>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82" workbookViewId="0">
      <selection activeCell="R105" sqref="R105"/>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2</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3</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4</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2</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2</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4</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5</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4</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6</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O15" sqref="O15"/>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2.5925925925925925E-3</v>
      </c>
      <c r="D1" s="34"/>
      <c r="E1" s="33"/>
      <c r="F1" s="33"/>
      <c r="G1" s="33"/>
      <c r="H1" s="33"/>
      <c r="I1" s="33"/>
      <c r="J1" s="33"/>
      <c r="K1" s="33"/>
      <c r="L1" s="33"/>
      <c r="M1" s="33"/>
      <c r="N1" s="74" t="s">
        <v>62</v>
      </c>
      <c r="O1" s="74"/>
      <c r="P1" s="35">
        <f ca="1">IF(Welcome!$B$4&lt;&gt;"",IF(Welcome!$B$5="",NOW()-Welcome!$B$4,Welcome!$B$6),"")</f>
        <v>7.5543981474766042E-2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2</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2</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O23" sqref="O23"/>
    </sheetView>
  </sheetViews>
  <sheetFormatPr defaultRowHeight="15" x14ac:dyDescent="0.25"/>
  <cols>
    <col min="16" max="16" width="12.7109375" bestFit="1" customWidth="1"/>
  </cols>
  <sheetData>
    <row r="1" spans="1:16" x14ac:dyDescent="0.25">
      <c r="A1" s="74" t="s">
        <v>61</v>
      </c>
      <c r="B1" s="74"/>
      <c r="C1" s="35">
        <f>Timings!$B$2</f>
        <v>5.4282407407407404E-3</v>
      </c>
      <c r="D1" s="34"/>
      <c r="E1" s="33"/>
      <c r="F1" s="33"/>
      <c r="G1" s="33"/>
      <c r="H1" s="33"/>
      <c r="I1" s="33"/>
      <c r="J1" s="33"/>
      <c r="K1" s="33"/>
      <c r="L1" s="33"/>
      <c r="M1" s="33"/>
      <c r="N1" s="74" t="s">
        <v>62</v>
      </c>
      <c r="O1" s="74"/>
      <c r="P1" s="35">
        <f ca="1">IF(Welcome!$B$4&lt;&gt;"",IF(Welcome!$B$5="",NOW()-Welcome!$B$4,Welcome!$B$6),"")</f>
        <v>7.5543981474766042E-2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3</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M13" sqref="M13"/>
    </sheetView>
  </sheetViews>
  <sheetFormatPr defaultRowHeight="15" x14ac:dyDescent="0.25"/>
  <cols>
    <col min="16" max="16" width="12.7109375" bestFit="1" customWidth="1"/>
  </cols>
  <sheetData>
    <row r="1" spans="1:16" x14ac:dyDescent="0.25">
      <c r="A1" s="74" t="s">
        <v>61</v>
      </c>
      <c r="B1" s="74"/>
      <c r="C1" s="35">
        <f>Timings!$B$3</f>
        <v>3.9351851851851857E-3</v>
      </c>
      <c r="D1" s="34"/>
      <c r="E1" s="33"/>
      <c r="F1" s="33"/>
      <c r="G1" s="33"/>
      <c r="H1" s="33"/>
      <c r="I1" s="33"/>
      <c r="J1" s="33"/>
      <c r="K1" s="33"/>
      <c r="L1" s="33"/>
      <c r="M1" s="33"/>
      <c r="N1" s="74" t="s">
        <v>62</v>
      </c>
      <c r="O1" s="74"/>
      <c r="P1" s="35">
        <f ca="1">IF(Welcome!$B$4&lt;&gt;"",IF(Welcome!$B$5="",NOW()-Welcome!$B$4,Welcome!$B$6),"")</f>
        <v>7.5543981474766042E-2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T19" sqref="T19"/>
    </sheetView>
  </sheetViews>
  <sheetFormatPr defaultRowHeight="15" x14ac:dyDescent="0.25"/>
  <cols>
    <col min="16" max="16" width="12.7109375" bestFit="1" customWidth="1"/>
  </cols>
  <sheetData>
    <row r="1" spans="1:16" x14ac:dyDescent="0.25">
      <c r="A1" s="74" t="s">
        <v>61</v>
      </c>
      <c r="B1" s="74"/>
      <c r="C1" s="35">
        <f>Timings!$B$4</f>
        <v>3.7615740740740739E-3</v>
      </c>
      <c r="D1" s="34"/>
      <c r="E1" s="33"/>
      <c r="F1" s="33"/>
      <c r="G1" s="33"/>
      <c r="H1" s="33"/>
      <c r="I1" s="33"/>
      <c r="J1" s="33"/>
      <c r="K1" s="33"/>
      <c r="L1" s="33"/>
      <c r="M1" s="33"/>
      <c r="N1" s="74" t="s">
        <v>62</v>
      </c>
      <c r="O1" s="74"/>
      <c r="P1" s="35">
        <f ca="1">IF(Welcome!$B$4&lt;&gt;"",IF(Welcome!$B$5="",NOW()-Welcome!$B$4,Welcome!$B$6),"")</f>
        <v>7.5543981474766042E-2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Timings!$B$5</f>
        <v>7.175925925925927E-4</v>
      </c>
      <c r="D1" s="34"/>
      <c r="E1" s="33"/>
      <c r="F1" s="33"/>
      <c r="G1" s="33"/>
      <c r="H1" s="33"/>
      <c r="I1" s="33"/>
      <c r="J1" s="33"/>
      <c r="K1" s="33"/>
      <c r="L1" s="33"/>
      <c r="M1" s="33"/>
      <c r="N1" s="74" t="s">
        <v>62</v>
      </c>
      <c r="O1" s="74"/>
      <c r="P1" s="35">
        <f ca="1">IF(Welcome!$B$4&lt;&gt;"",IF(Welcome!$B$5="",NOW()-Welcome!$B$4,Welcome!$B$6),"")</f>
        <v>7.5543981474766042E-2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Timings!$B$6</f>
        <v>1.9560185185185184E-3</v>
      </c>
      <c r="D1" s="34"/>
      <c r="E1" s="33"/>
      <c r="F1" s="33"/>
      <c r="G1" s="33"/>
      <c r="H1" s="33"/>
      <c r="I1" s="33"/>
      <c r="J1" s="33"/>
      <c r="K1" s="33"/>
      <c r="L1" s="33"/>
      <c r="M1" s="33"/>
      <c r="N1" s="74" t="s">
        <v>62</v>
      </c>
      <c r="O1" s="74"/>
      <c r="P1" s="35">
        <f ca="1">IF(Welcome!$B$4&lt;&gt;"",IF(Welcome!$B$5="",NOW()-Welcome!$B$4,Welcome!$B$6),"")</f>
        <v>7.5543981474766042E-2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N18" sqref="N18"/>
    </sheetView>
  </sheetViews>
  <sheetFormatPr defaultRowHeight="15" x14ac:dyDescent="0.25"/>
  <cols>
    <col min="16" max="16" width="12.7109375" bestFit="1" customWidth="1"/>
  </cols>
  <sheetData>
    <row r="1" spans="1:16" x14ac:dyDescent="0.25">
      <c r="A1" s="74" t="s">
        <v>61</v>
      </c>
      <c r="B1" s="74"/>
      <c r="C1" s="35">
        <f>Timings!$B$7</f>
        <v>3.3449074074074071E-3</v>
      </c>
      <c r="D1" s="34"/>
      <c r="E1" s="33"/>
      <c r="F1" s="33"/>
      <c r="G1" s="33"/>
      <c r="H1" s="33"/>
      <c r="I1" s="33"/>
      <c r="J1" s="33"/>
      <c r="K1" s="33"/>
      <c r="L1" s="33"/>
      <c r="M1" s="33"/>
      <c r="N1" s="74" t="s">
        <v>62</v>
      </c>
      <c r="O1" s="74"/>
      <c r="P1" s="35">
        <f ca="1">IF(Welcome!$B$4&lt;&gt;"",IF(Welcome!$B$5="",NOW()-Welcome!$B$4,Welcome!$B$6),"")</f>
        <v>7.5543981474766042E-2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L15" sqref="L15"/>
    </sheetView>
  </sheetViews>
  <sheetFormatPr defaultRowHeight="15" x14ac:dyDescent="0.25"/>
  <cols>
    <col min="16" max="16" width="12.7109375" bestFit="1" customWidth="1"/>
  </cols>
  <sheetData>
    <row r="1" spans="1:16" x14ac:dyDescent="0.25">
      <c r="A1" s="74" t="s">
        <v>61</v>
      </c>
      <c r="B1" s="74"/>
      <c r="C1" s="35">
        <f>Timings!$B$8</f>
        <v>3.1365740740740742E-3</v>
      </c>
      <c r="D1" s="34"/>
      <c r="E1" s="33"/>
      <c r="F1" s="33"/>
      <c r="G1" s="33"/>
      <c r="H1" s="33"/>
      <c r="I1" s="33"/>
      <c r="J1" s="33"/>
      <c r="K1" s="33"/>
      <c r="L1" s="33"/>
      <c r="M1" s="33"/>
      <c r="N1" s="74" t="s">
        <v>62</v>
      </c>
      <c r="O1" s="74"/>
      <c r="P1" s="35">
        <f ca="1">IF(Welcome!$B$4&lt;&gt;"",IF(Welcome!$B$5="",NOW()-Welcome!$B$4,Welcome!$B$6),"")</f>
        <v>7.5543981474766042E-2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T29" sqref="T29"/>
    </sheetView>
  </sheetViews>
  <sheetFormatPr defaultRowHeight="15" x14ac:dyDescent="0.25"/>
  <cols>
    <col min="16" max="16" width="12.7109375" bestFit="1" customWidth="1"/>
  </cols>
  <sheetData>
    <row r="1" spans="1:16" x14ac:dyDescent="0.25">
      <c r="A1" s="74" t="s">
        <v>61</v>
      </c>
      <c r="B1" s="74"/>
      <c r="C1" s="35">
        <f>Timings!$B$9</f>
        <v>1.3402777777777777E-2</v>
      </c>
      <c r="D1" s="34"/>
      <c r="E1" s="33"/>
      <c r="F1" s="33"/>
      <c r="G1" s="33"/>
      <c r="H1" s="33"/>
      <c r="I1" s="33"/>
      <c r="J1" s="33"/>
      <c r="K1" s="33"/>
      <c r="L1" s="33"/>
      <c r="M1" s="33"/>
      <c r="N1" s="74" t="s">
        <v>62</v>
      </c>
      <c r="O1" s="74"/>
      <c r="P1" s="35">
        <f ca="1">IF(Welcome!$B$4&lt;&gt;"",IF(Welcome!$B$5="",NOW()-Welcome!$B$4,Welcome!$B$6),"")</f>
        <v>7.5543981474766042E-2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A7" sqref="A7:O7"/>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6</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opLeftCell="A7" zoomScale="90" zoomScaleNormal="90" workbookViewId="0">
      <selection activeCell="R19" sqref="R19"/>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5</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6</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2</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1</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t="s">
        <v>75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1</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2</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1</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1" sqref="B1"/>
    </sheetView>
  </sheetViews>
  <sheetFormatPr defaultRowHeight="15" x14ac:dyDescent="0.25"/>
  <cols>
    <col min="1" max="1" width="11.5703125" bestFit="1" customWidth="1"/>
    <col min="2" max="2" width="19.28515625" customWidth="1"/>
  </cols>
  <sheetData>
    <row r="1" spans="1:6" x14ac:dyDescent="0.25">
      <c r="A1" s="20" t="s">
        <v>22</v>
      </c>
      <c r="B1" s="21">
        <v>2.5925925925925925E-3</v>
      </c>
    </row>
    <row r="2" spans="1:6" x14ac:dyDescent="0.25">
      <c r="A2" s="20" t="s">
        <v>23</v>
      </c>
      <c r="B2" s="21">
        <v>5.4282407407407404E-3</v>
      </c>
    </row>
    <row r="3" spans="1:6" x14ac:dyDescent="0.25">
      <c r="A3" s="20" t="s">
        <v>24</v>
      </c>
      <c r="B3" s="21">
        <v>3.9351851851851857E-3</v>
      </c>
    </row>
    <row r="4" spans="1:6" x14ac:dyDescent="0.25">
      <c r="A4" s="20" t="s">
        <v>25</v>
      </c>
      <c r="B4" s="21">
        <v>3.7615740740740739E-3</v>
      </c>
    </row>
    <row r="5" spans="1:6" x14ac:dyDescent="0.25">
      <c r="A5" s="20" t="s">
        <v>26</v>
      </c>
      <c r="B5" s="21">
        <v>7.175925925925927E-4</v>
      </c>
    </row>
    <row r="6" spans="1:6" x14ac:dyDescent="0.25">
      <c r="A6" s="20" t="s">
        <v>27</v>
      </c>
      <c r="B6" s="21">
        <v>1.9560185185185184E-3</v>
      </c>
    </row>
    <row r="7" spans="1:6" x14ac:dyDescent="0.25">
      <c r="A7" s="20" t="s">
        <v>28</v>
      </c>
      <c r="B7" s="21">
        <v>3.3449074074074071E-3</v>
      </c>
    </row>
    <row r="8" spans="1:6" x14ac:dyDescent="0.25">
      <c r="A8" s="20" t="s">
        <v>29</v>
      </c>
      <c r="B8" s="21">
        <v>3.1365740740740742E-3</v>
      </c>
    </row>
    <row r="9" spans="1:6" x14ac:dyDescent="0.25">
      <c r="A9" s="20" t="s">
        <v>66</v>
      </c>
      <c r="B9" s="21">
        <v>1.3402777777777777E-2</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D12" sqref="D12"/>
    </sheetView>
  </sheetViews>
  <sheetFormatPr defaultRowHeight="15" x14ac:dyDescent="0.25"/>
  <cols>
    <col min="3" max="3" width="89" customWidth="1"/>
    <col min="4" max="4" width="119.140625" customWidth="1"/>
  </cols>
  <sheetData>
    <row r="1" spans="1:4" ht="19.5" thickBot="1" x14ac:dyDescent="0.35">
      <c r="A1" s="79" t="str">
        <f>Welcome!B1</f>
        <v>P11</v>
      </c>
      <c r="B1" s="79"/>
      <c r="C1" s="79"/>
      <c r="D1" s="79"/>
    </row>
    <row r="2" spans="1:4" ht="15.75" thickBot="1" x14ac:dyDescent="0.3">
      <c r="A2" s="39" t="s">
        <v>69</v>
      </c>
      <c r="B2" s="39" t="s">
        <v>70</v>
      </c>
      <c r="C2" s="39" t="s">
        <v>71</v>
      </c>
      <c r="D2" s="46" t="s">
        <v>72</v>
      </c>
    </row>
    <row r="3" spans="1:4" x14ac:dyDescent="0.25">
      <c r="A3" s="40" t="s">
        <v>22</v>
      </c>
      <c r="B3" s="43">
        <v>1</v>
      </c>
      <c r="C3" s="43"/>
      <c r="D3" s="47" t="s">
        <v>77</v>
      </c>
    </row>
    <row r="4" spans="1:4" x14ac:dyDescent="0.25">
      <c r="A4" s="41" t="s">
        <v>23</v>
      </c>
      <c r="B4" s="44">
        <v>1</v>
      </c>
      <c r="C4" s="44"/>
      <c r="D4" s="48" t="s">
        <v>77</v>
      </c>
    </row>
    <row r="5" spans="1:4" x14ac:dyDescent="0.25">
      <c r="A5" s="41" t="s">
        <v>24</v>
      </c>
      <c r="B5" s="44">
        <v>1</v>
      </c>
      <c r="C5" s="44"/>
      <c r="D5" s="48" t="s">
        <v>78</v>
      </c>
    </row>
    <row r="6" spans="1:4" x14ac:dyDescent="0.25">
      <c r="A6" s="41" t="s">
        <v>25</v>
      </c>
      <c r="B6" s="44">
        <v>1</v>
      </c>
      <c r="C6" s="44"/>
      <c r="D6" s="48" t="s">
        <v>78</v>
      </c>
    </row>
    <row r="7" spans="1:4" x14ac:dyDescent="0.25">
      <c r="A7" s="41" t="s">
        <v>26</v>
      </c>
      <c r="B7" s="44">
        <v>1</v>
      </c>
      <c r="C7" s="44"/>
      <c r="D7" s="48" t="s">
        <v>78</v>
      </c>
    </row>
    <row r="8" spans="1:4" x14ac:dyDescent="0.25">
      <c r="A8" s="41" t="s">
        <v>27</v>
      </c>
      <c r="B8" s="44">
        <v>1</v>
      </c>
      <c r="C8" s="44"/>
      <c r="D8" s="48" t="s">
        <v>79</v>
      </c>
    </row>
    <row r="9" spans="1:4" x14ac:dyDescent="0.25">
      <c r="A9" s="41" t="s">
        <v>28</v>
      </c>
      <c r="B9" s="44">
        <v>1</v>
      </c>
      <c r="C9" s="44"/>
      <c r="D9" s="48" t="s">
        <v>77</v>
      </c>
    </row>
    <row r="10" spans="1:4" x14ac:dyDescent="0.25">
      <c r="A10" s="41" t="s">
        <v>29</v>
      </c>
      <c r="B10" s="44">
        <v>1</v>
      </c>
      <c r="C10" s="44"/>
      <c r="D10" s="48" t="s">
        <v>80</v>
      </c>
    </row>
    <row r="11" spans="1:4" ht="15.75" thickBot="1" x14ac:dyDescent="0.3">
      <c r="A11" s="42" t="s">
        <v>66</v>
      </c>
      <c r="B11" s="45">
        <v>1</v>
      </c>
      <c r="C11" s="45"/>
      <c r="D11" s="49" t="s">
        <v>81</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82</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2</v>
      </c>
      <c r="B3">
        <f>Task2!H10</f>
        <v>3</v>
      </c>
      <c r="C3">
        <f>Task3!H10</f>
        <v>4</v>
      </c>
      <c r="D3">
        <f>Task4!H10</f>
        <v>2</v>
      </c>
      <c r="E3">
        <f>Task5!H10</f>
        <v>2</v>
      </c>
      <c r="F3">
        <f>Task6!H10</f>
        <v>4</v>
      </c>
      <c r="G3">
        <f>Task7!H10</f>
        <v>5</v>
      </c>
      <c r="H3">
        <f>Task8!H10</f>
        <v>4</v>
      </c>
      <c r="I3">
        <f>Task9!H10</f>
        <v>6</v>
      </c>
    </row>
    <row r="4" spans="1:9" x14ac:dyDescent="0.25">
      <c r="A4">
        <f>Task1!H13</f>
        <v>2</v>
      </c>
      <c r="B4">
        <f>Task2!H14</f>
        <v>3</v>
      </c>
      <c r="C4">
        <f>Task3!H14</f>
        <v>3</v>
      </c>
      <c r="D4">
        <f>Task4!H14</f>
        <v>2</v>
      </c>
      <c r="E4">
        <f>Task5!H14</f>
        <v>2</v>
      </c>
      <c r="F4">
        <f>Task6!H14</f>
        <v>2</v>
      </c>
      <c r="G4">
        <f>Task7!H14</f>
        <v>3</v>
      </c>
      <c r="H4">
        <f>Task8!H14</f>
        <v>3</v>
      </c>
      <c r="I4">
        <f>Task9!H14</f>
        <v>5</v>
      </c>
    </row>
    <row r="6" spans="1:9" x14ac:dyDescent="0.25">
      <c r="A6" s="63" t="s">
        <v>83</v>
      </c>
      <c r="B6" s="63"/>
      <c r="C6" s="63"/>
      <c r="D6" s="63"/>
      <c r="E6" s="63"/>
      <c r="F6" s="63"/>
      <c r="G6" s="63"/>
      <c r="H6" s="63"/>
      <c r="I6" s="63"/>
    </row>
    <row r="7" spans="1:9" x14ac:dyDescent="0.25">
      <c r="A7" t="s">
        <v>84</v>
      </c>
      <c r="B7" t="s">
        <v>85</v>
      </c>
      <c r="C7" t="s">
        <v>86</v>
      </c>
      <c r="D7" t="s">
        <v>87</v>
      </c>
      <c r="E7" t="s">
        <v>88</v>
      </c>
      <c r="F7" t="s">
        <v>89</v>
      </c>
      <c r="G7" t="s">
        <v>90</v>
      </c>
      <c r="H7" t="s">
        <v>91</v>
      </c>
      <c r="I7" t="s">
        <v>92</v>
      </c>
    </row>
    <row r="8" spans="1:9" x14ac:dyDescent="0.25">
      <c r="A8">
        <f>ExperienceRating!H4</f>
        <v>6</v>
      </c>
      <c r="B8">
        <f>UMUX!H4</f>
        <v>5</v>
      </c>
      <c r="C8">
        <f>UMUX!H8</f>
        <v>6</v>
      </c>
      <c r="D8">
        <f>UMUX!H13</f>
        <v>2</v>
      </c>
      <c r="E8">
        <f>UMUX!H16</f>
        <v>1</v>
      </c>
      <c r="F8" t="str">
        <f>UMUX!H19</f>
        <v>NA</v>
      </c>
      <c r="G8">
        <f>UMUX!H22</f>
        <v>1</v>
      </c>
      <c r="H8">
        <f>UMUX!H25</f>
        <v>2</v>
      </c>
      <c r="I8">
        <f>UMUX!H28</f>
        <v>1</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2019-03-11T19:06:42Z</dcterms:modified>
</cp:coreProperties>
</file>
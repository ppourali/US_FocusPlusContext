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7\Tasks\"/>
    </mc:Choice>
  </mc:AlternateContent>
  <bookViews>
    <workbookView xWindow="0" yWindow="0" windowWidth="28800" windowHeight="12300" tabRatio="876"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<sst xmlns="http://schemas.openxmlformats.org/spreadsheetml/2006/main" count="326" uniqueCount="76">
  <si>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</si>
  <si>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</si>
  <si>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</si>
  <si>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</si>
  <si>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</si>
  <si>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</si>
  <si>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</si>
  <si>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</si>
  <si>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</si>
  <si>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</si>
  <si>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</si>
  <si>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</si>
  <si>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</si>
  <si>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</si>
  <si>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</si>
  <si>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</si>
  <si>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</si>
  <si>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</si>
  <si>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</si>
  <si>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</si>
  <si>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</si>
  <si>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</si>
  <si>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</si>
  <si>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</si>
  <si>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</si>
  <si>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</si>
  <si>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</si>
  <si>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</si>
  <si>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</si>
  <si>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</si>
  <si>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</si>
  <si>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</si>
  <si>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</si>
  <si>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</si>
  <si>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</si>
  <si>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</si>
  <si>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</si>
  <si>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</si>
  <si>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</si>
  <si>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</si>
  <si>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</si>
  <si>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</si>
  <si>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</si>
  <si>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</si>
  <si>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</si>
  <si>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</si>
  <si>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</si>
  <si>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</si>
  <si>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</si>
  <si>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</si>
  <si>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</si>
  <si>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</si>
  <si>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</si>
  <si>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</si>
  <si>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</si>
  <si>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</si>
  <si>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</si>
  <si>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</si>
  <si>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</si>
  <si>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</si>
  <si>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</si>
  <si>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</si>
  <si>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</si>
  <si>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</si>
  <si>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</si>
  <si>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P17</t>
  </si>
  <si>
    <t>VisualParadigm</t>
  </si>
  <si>
    <t>Thank you!</t>
  </si>
  <si>
    <t>CD,GC,GB,GD,GA</t>
  </si>
  <si>
    <t>CD,GC,GB,GD,GA,GD,GB,GC</t>
  </si>
  <si>
    <t>CD,GC,GB,GD,GA,GC</t>
  </si>
  <si>
    <t>CD,GC,GB,GD,GA,GD,GA</t>
  </si>
  <si>
    <t>CD,GC,CD,GC,GB,GD,GA</t>
  </si>
  <si>
    <t>E1</t>
  </si>
  <si>
    <t>CD,GC,GD,GA</t>
  </si>
  <si>
    <t>E1,E1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</si>
</sst>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3" sqref="B3"/>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43563.656446759262</v>
      </c>
    </row>
    <row r="5" spans="1:2" ht="28.5" x14ac:dyDescent="0.45">
      <c r="A5" s="1" t="s">
        <v>36</v>
      </c>
      <c r="B5" s="19">
        <v>43563.679027777776</v>
      </c>
    </row>
    <row r="6" spans="1:2" ht="28.5" x14ac:dyDescent="0.45">
      <c r="A6" s="1" t="s">
        <v>37</v>
      </c>
      <c r="B6" s="20">
        <f>B5-B4</f>
        <v>2.2581018514756579E-2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52" workbookViewId="0">
      <selection activeCell="I71" sqref="I71"/>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1</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2</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1</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2</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2</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2</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2</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2</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6</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5</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O28" sqref="O28"/>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2.685185185185185E-3</v>
      </c>
      <c r="D1" s="36"/>
      <c r="E1" s="35"/>
      <c r="F1" s="35"/>
      <c r="G1" s="35"/>
      <c r="H1" s="35"/>
      <c r="I1" s="35"/>
      <c r="J1" s="35"/>
      <c r="K1" s="35"/>
      <c r="L1" s="35"/>
      <c r="M1" s="35"/>
      <c r="N1" s="75" t="s">
        <v>43</v>
      </c>
      <c r="O1" s="75"/>
      <c r="P1" s="37">
        <f ca="1">IF(Welcome!$B$4&lt;&gt;"",IF(Welcome!$B$5="",NOW()-Welcome!$B$4,Welcome!$B$6),"")</f>
        <v>2.2581018514756579E-2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1</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3</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12" sqref="H12"/>
    </sheetView>
  </sheetViews>
  <sheetFormatPr defaultRowHeight="15" x14ac:dyDescent="0.25"/>
  <cols>
    <col min="16" max="16" width="12.7109375" bestFit="1" customWidth="1"/>
  </cols>
  <sheetData>
    <row r="1" spans="1:16" x14ac:dyDescent="0.25">
      <c r="A1" s="75" t="s">
        <v>42</v>
      </c>
      <c r="B1" s="75"/>
      <c r="C1" s="37">
        <f>Timings!$B$2</f>
        <v>2.1064814814814813E-3</v>
      </c>
      <c r="D1" s="36"/>
      <c r="E1" s="35"/>
      <c r="F1" s="35"/>
      <c r="G1" s="35"/>
      <c r="H1" s="35"/>
      <c r="I1" s="35"/>
      <c r="J1" s="35"/>
      <c r="K1" s="35"/>
      <c r="L1" s="35"/>
      <c r="M1" s="35"/>
      <c r="N1" s="75" t="s">
        <v>43</v>
      </c>
      <c r="O1" s="75"/>
      <c r="P1" s="37">
        <f ca="1">IF(Welcome!$B$4&lt;&gt;"",IF(Welcome!$B$5="",NOW()-Welcome!$B$4,Welcome!$B$6),"")</f>
        <v>2.2581018514756579E-2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2</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4</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0</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0</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Timings!$B$3</f>
        <v>2.8703703703703708E-3</v>
      </c>
      <c r="D1" s="36"/>
      <c r="E1" s="35"/>
      <c r="F1" s="35"/>
      <c r="G1" s="35"/>
      <c r="H1" s="35"/>
      <c r="I1" s="35"/>
      <c r="J1" s="35"/>
      <c r="K1" s="35"/>
      <c r="L1" s="35"/>
      <c r="M1" s="35"/>
      <c r="N1" s="75" t="s">
        <v>43</v>
      </c>
      <c r="O1" s="75"/>
      <c r="P1" s="37">
        <f ca="1">IF(Welcome!$B$4&lt;&gt;"",IF(Welcome!$B$5="",NOW()-Welcome!$B$4,Welcome!$B$6),"")</f>
        <v>2.2581018514756579E-2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15" sqref="H15"/>
    </sheetView>
  </sheetViews>
  <sheetFormatPr defaultRowHeight="15" x14ac:dyDescent="0.25"/>
  <cols>
    <col min="16" max="16" width="12.7109375" bestFit="1" customWidth="1"/>
  </cols>
  <sheetData>
    <row r="1" spans="1:16" x14ac:dyDescent="0.25">
      <c r="A1" s="75" t="s">
        <v>42</v>
      </c>
      <c r="B1" s="75"/>
      <c r="C1" s="37">
        <f>Timings!$B$4</f>
        <v>2.6967592592592594E-3</v>
      </c>
      <c r="D1" s="36"/>
      <c r="E1" s="35"/>
      <c r="F1" s="35"/>
      <c r="G1" s="35"/>
      <c r="H1" s="35"/>
      <c r="I1" s="35"/>
      <c r="J1" s="35"/>
      <c r="K1" s="35"/>
      <c r="L1" s="35"/>
      <c r="M1" s="35"/>
      <c r="N1" s="75" t="s">
        <v>43</v>
      </c>
      <c r="O1" s="75"/>
      <c r="P1" s="37">
        <f ca="1">IF(Welcome!$B$4&lt;&gt;"",IF(Welcome!$B$5="",NOW()-Welcome!$B$4,Welcome!$B$6),"")</f>
        <v>2.2581018514756579E-2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2</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5</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0</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0</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Timings!$B$5</f>
        <v>2.3032407407407407E-3</v>
      </c>
      <c r="D1" s="36"/>
      <c r="E1" s="35"/>
      <c r="F1" s="35"/>
      <c r="G1" s="35"/>
      <c r="H1" s="35"/>
      <c r="I1" s="35"/>
      <c r="J1" s="35"/>
      <c r="K1" s="35"/>
      <c r="L1" s="35"/>
      <c r="M1" s="35"/>
      <c r="N1" s="75" t="s">
        <v>43</v>
      </c>
      <c r="O1" s="75"/>
      <c r="P1" s="37">
        <f ca="1">IF(Welcome!$B$4&lt;&gt;"",IF(Welcome!$B$5="",NOW()-Welcome!$B$4,Welcome!$B$6),"")</f>
        <v>2.2581018514756579E-2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Timings!$B$6</f>
        <v>2.2453703703703702E-3</v>
      </c>
      <c r="D1" s="36"/>
      <c r="E1" s="35"/>
      <c r="F1" s="35"/>
      <c r="G1" s="35"/>
      <c r="H1" s="35"/>
      <c r="I1" s="35"/>
      <c r="J1" s="35"/>
      <c r="K1" s="35"/>
      <c r="L1" s="35"/>
      <c r="M1" s="35"/>
      <c r="N1" s="75" t="s">
        <v>43</v>
      </c>
      <c r="O1" s="75"/>
      <c r="P1" s="37">
        <f ca="1">IF(Welcome!$B$4&lt;&gt;"",IF(Welcome!$B$5="",NOW()-Welcome!$B$4,Welcome!$B$6),"")</f>
        <v>2.2581018514756579E-2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4</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13" sqref="H13"/>
    </sheetView>
  </sheetViews>
  <sheetFormatPr defaultRowHeight="15" x14ac:dyDescent="0.25"/>
  <cols>
    <col min="16" max="16" width="12.7109375" bestFit="1" customWidth="1"/>
  </cols>
  <sheetData>
    <row r="1" spans="1:16" x14ac:dyDescent="0.25">
      <c r="A1" s="75" t="s">
        <v>42</v>
      </c>
      <c r="B1" s="75"/>
      <c r="C1" s="37">
        <f>Timings!$B$7</f>
        <v>1.736111111111111E-3</v>
      </c>
      <c r="D1" s="36"/>
      <c r="E1" s="35"/>
      <c r="F1" s="35"/>
      <c r="G1" s="35"/>
      <c r="H1" s="35"/>
      <c r="I1" s="35"/>
      <c r="J1" s="35"/>
      <c r="K1" s="35"/>
      <c r="L1" s="35"/>
      <c r="M1" s="35"/>
      <c r="N1" s="75" t="s">
        <v>43</v>
      </c>
      <c r="O1" s="75"/>
      <c r="P1" s="37">
        <f ca="1">IF(Welcome!$B$4&lt;&gt;"",IF(Welcome!$B$5="",NOW()-Welcome!$B$4,Welcome!$B$6),"")</f>
        <v>2.2581018514756579E-2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2</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4</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0</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0</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H10" sqref="H10"/>
    </sheetView>
  </sheetViews>
  <sheetFormatPr defaultRowHeight="15" x14ac:dyDescent="0.25"/>
  <cols>
    <col min="16" max="16" width="12.7109375" bestFit="1" customWidth="1"/>
  </cols>
  <sheetData>
    <row r="1" spans="1:16" x14ac:dyDescent="0.25">
      <c r="A1" s="75" t="s">
        <v>42</v>
      </c>
      <c r="B1" s="75"/>
      <c r="C1" s="37">
        <f>Timings!$B$8</f>
        <v>1.8287037037037037E-3</v>
      </c>
      <c r="D1" s="36"/>
      <c r="E1" s="35"/>
      <c r="F1" s="35"/>
      <c r="G1" s="35"/>
      <c r="H1" s="35"/>
      <c r="I1" s="35"/>
      <c r="J1" s="35"/>
      <c r="K1" s="35"/>
      <c r="L1" s="35"/>
      <c r="M1" s="35"/>
      <c r="N1" s="75" t="s">
        <v>43</v>
      </c>
      <c r="O1" s="75"/>
      <c r="P1" s="37">
        <f ca="1">IF(Welcome!$B$4&lt;&gt;"",IF(Welcome!$B$5="",NOW()-Welcome!$B$4,Welcome!$B$6),"")</f>
        <v>2.2581018514756579E-2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2</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4</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0</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H16" sqref="H16"/>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2</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2</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v>1</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7</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P15" sqref="P15"/>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1</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2</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39" sqref="N39"/>
    </sheetView>
  </sheetViews>
  <sheetFormatPr defaultRowHeight="15" x14ac:dyDescent="0.25"/>
  <cols>
    <col min="1" max="1" width="11.5703125" bestFit="1" customWidth="1"/>
    <col min="2" max="2" width="19.28515625" customWidth="1"/>
  </cols>
  <sheetData>
    <row r="1" spans="1:6" x14ac:dyDescent="0.25">
      <c r="A1" s="22" t="s">
        <v>27</v>
      </c>
      <c r="B1" s="23">
        <v>2.685185185185185E-3</v>
      </c>
    </row>
    <row r="2" spans="1:6" x14ac:dyDescent="0.25">
      <c r="A2" s="22" t="s">
        <v>28</v>
      </c>
      <c r="B2" s="23">
        <v>2.1064814814814813E-3</v>
      </c>
    </row>
    <row r="3" spans="1:6" x14ac:dyDescent="0.25">
      <c r="A3" s="22" t="s">
        <v>29</v>
      </c>
      <c r="B3" s="23">
        <v>2.8703703703703708E-3</v>
      </c>
    </row>
    <row r="4" spans="1:6" x14ac:dyDescent="0.25">
      <c r="A4" s="22" t="s">
        <v>30</v>
      </c>
      <c r="B4" s="23">
        <v>2.6967592592592594E-3</v>
      </c>
    </row>
    <row r="5" spans="1:6" x14ac:dyDescent="0.25">
      <c r="A5" s="22" t="s">
        <v>31</v>
      </c>
      <c r="B5" s="23">
        <v>2.3032407407407407E-3</v>
      </c>
    </row>
    <row r="6" spans="1:6" x14ac:dyDescent="0.25">
      <c r="A6" s="22" t="s">
        <v>32</v>
      </c>
      <c r="B6" s="23">
        <v>2.2453703703703702E-3</v>
      </c>
    </row>
    <row r="7" spans="1:6" x14ac:dyDescent="0.25">
      <c r="A7" s="22" t="s">
        <v>33</v>
      </c>
      <c r="B7" s="23">
        <v>1.736111111111111E-3</v>
      </c>
    </row>
    <row r="8" spans="1:6" x14ac:dyDescent="0.25">
      <c r="A8" s="22" t="s">
        <v>34</v>
      </c>
      <c r="B8" s="23">
        <v>1.8287037037037037E-3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tabSelected="1" workbookViewId="0">
      <selection activeCell="D25" sqref="D25"/>
    </sheetView>
  </sheetViews>
  <sheetFormatPr defaultRowHeight="15" x14ac:dyDescent="0.25"/>
  <cols>
    <col min="3" max="3" width="89" customWidth="1"/>
    <col min="4" max="4" width="119.140625" customWidth="1"/>
  </cols>
  <sheetData>
    <row r="1" spans="1:4" ht="19.5" thickBot="1" x14ac:dyDescent="0.35">
      <c r="A1" s="87" t="str">
        <f>Welcome!B1</f>
        <v>P17</v>
      </c>
      <c r="B1" s="87"/>
      <c r="C1" s="87"/>
      <c r="D1" s="87"/>
    </row>
    <row r="2" spans="1:4" ht="15.75" thickBot="1" x14ac:dyDescent="0.3">
      <c r="A2" s="40" t="s">
        <v>60</v>
      </c>
      <c r="B2" s="40" t="s">
        <v>61</v>
      </c>
      <c r="C2" s="40" t="s">
        <v>62</v>
      </c>
      <c r="D2" s="41" t="s">
        <v>63</v>
      </c>
    </row>
    <row r="3" spans="1:4" x14ac:dyDescent="0.25">
      <c r="A3" s="42" t="s">
        <v>27</v>
      </c>
      <c r="B3" s="43">
        <v>1</v>
      </c>
      <c r="C3" s="43" t="s">
        <v>73</v>
      </c>
      <c r="D3" s="44" t="s">
        <v>68</v>
      </c>
    </row>
    <row r="4" spans="1:4" x14ac:dyDescent="0.25">
      <c r="A4" s="45" t="s">
        <v>28</v>
      </c>
      <c r="B4" s="46">
        <v>1</v>
      </c>
      <c r="C4" s="46"/>
      <c r="D4" s="47" t="s">
        <v>68</v>
      </c>
    </row>
    <row r="5" spans="1:4" x14ac:dyDescent="0.25">
      <c r="A5" s="45" t="s">
        <v>29</v>
      </c>
      <c r="B5" s="46">
        <v>1</v>
      </c>
      <c r="C5" s="46"/>
      <c r="D5" s="47" t="s">
        <v>68</v>
      </c>
    </row>
    <row r="6" spans="1:4" x14ac:dyDescent="0.25">
      <c r="A6" s="45" t="s">
        <v>30</v>
      </c>
      <c r="B6" s="46">
        <v>0</v>
      </c>
      <c r="C6" s="46" t="s">
        <v>75</v>
      </c>
      <c r="D6" s="47" t="s">
        <v>74</v>
      </c>
    </row>
    <row r="7" spans="1:4" x14ac:dyDescent="0.25">
      <c r="A7" s="45" t="s">
        <v>31</v>
      </c>
      <c r="B7" s="46">
        <v>1</v>
      </c>
      <c r="C7" s="46"/>
      <c r="D7" s="47" t="s">
        <v>69</v>
      </c>
    </row>
    <row r="8" spans="1:4" x14ac:dyDescent="0.25">
      <c r="A8" s="45" t="s">
        <v>32</v>
      </c>
      <c r="B8" s="46">
        <v>1</v>
      </c>
      <c r="C8" s="46"/>
      <c r="D8" s="47" t="s">
        <v>70</v>
      </c>
    </row>
    <row r="9" spans="1:4" x14ac:dyDescent="0.25">
      <c r="A9" s="45" t="s">
        <v>33</v>
      </c>
      <c r="B9" s="46">
        <v>1</v>
      </c>
      <c r="C9" s="46"/>
      <c r="D9" s="47" t="s">
        <v>71</v>
      </c>
    </row>
    <row r="10" spans="1:4" ht="15.75" thickBot="1" x14ac:dyDescent="0.3">
      <c r="A10" s="48" t="s">
        <v>34</v>
      </c>
      <c r="B10" s="49">
        <v>1</v>
      </c>
      <c r="C10" s="49"/>
      <c r="D10" s="50" t="s">
        <v>72</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2019-04-12T23:12:33Z</dcterms:modified>
</cp:coreProperties>
</file>
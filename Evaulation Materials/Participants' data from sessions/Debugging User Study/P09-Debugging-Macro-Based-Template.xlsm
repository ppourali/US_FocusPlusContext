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09\Tasks\"/>
    </mc:Choice>
  </mc:AlternateContent>
  <bookViews>
    <workbookView xWindow="0" yWindow="0" windowWidth="28800" windowHeight="12300" tabRatio="876" activeTab="3"/>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ExperienceRating" sheetId="14" r:id="rId13"/>
    <sheet name="UMUX" sheetId="15" r:id="rId14"/>
    <sheet name="Timings" sheetId="16" r:id="rId15"/>
    <sheet name="Data" sheetId="17" r:id="rId1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7" l="1"/>
  <c r="A2" i="13" l="1"/>
  <c r="A2" i="12"/>
  <c r="A2" i="11"/>
  <c r="A2" i="10"/>
  <c r="C6" i="8"/>
  <c r="C7" i="8"/>
  <c r="C5" i="8"/>
  <c r="A2" i="8"/>
  <c r="A2" i="9"/>
  <c r="A2" i="7"/>
  <c r="A2" i="6"/>
  <c r="H5" i="13" l="1"/>
  <c r="H8" i="12"/>
  <c r="H6" i="11"/>
  <c r="H6" i="10"/>
  <c r="H10" i="8"/>
  <c r="H6" i="9"/>
  <c r="H7" i="7"/>
  <c r="H5" i="6"/>
  <c r="C1" i="13"/>
  <c r="C1" i="12"/>
  <c r="C1" i="11"/>
  <c r="C1" i="10"/>
  <c r="C1" i="8"/>
  <c r="C1" i="9"/>
  <c r="C1" i="7"/>
  <c r="C1" i="6"/>
  <c r="B6" i="1" l="1"/>
  <c r="P1" i="12" l="1"/>
  <c r="P1" i="11"/>
  <c r="P1" i="6"/>
  <c r="P1" i="10"/>
  <c r="P1" i="7"/>
  <c r="P1" i="13"/>
  <c r="P1" i="8"/>
  <c r="P1" i="9"/>
</calcChain>
</file>

<file path=xl/sharedStrings.xml><?xml version="1.0" encoding="utf-8"?>
<sst xmlns="http://schemas.openxmlformats.org/spreadsheetml/2006/main" count="324" uniqueCount="75">
  <si>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</si>
  <si>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</si>
  <si>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</si>
  <si>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</si>
  <si>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</si>
  <si>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</si>
  <si>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</si>
  <si>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</si>
  <si>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</si>
  <si>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</si>
  <si>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During the task, were you prompted by the tool to fix the errors?</t>
  </si>
  <si>
    <t>Overall, the error message(s) and warnings helped me to solve the problem.</t>
  </si>
  <si>
    <t>Overall, the tool provided me with error recovery techniques (or steps) that made it easier to fix the problem.</t>
  </si>
  <si>
    <t>If Yes:</t>
  </si>
  <si>
    <t>Please answer to the following questions based on your actual experience using the tool in the study.</t>
  </si>
  <si>
    <t>Compared to your initial expectation, To what extent did the tool was close to satisfy your expectation?</t>
  </si>
  <si>
    <t>How confident you are with your level of success in fulfilling the tasks (do you think you might have left some uncaught errors in the model)?</t>
  </si>
  <si>
    <t>Below my Expectations</t>
  </si>
  <si>
    <t>Above my Expectations</t>
  </si>
  <si>
    <t>Strongly Unconfident</t>
  </si>
  <si>
    <t>Strongly Confident</t>
  </si>
  <si>
    <t>For our tool only</t>
  </si>
  <si>
    <t>Based on your experience, to what extent do you feel being disrupted by the tool?</t>
  </si>
  <si>
    <t>Based on your experience, to what extent do you agree that being disrupted was worth of delivering more correct models and being more confident in the solution?</t>
  </si>
  <si>
    <t>The interactive consistency management interface’s capabilities meet my requirements.</t>
  </si>
  <si>
    <t>The interactive consistency management interface is easy to use.</t>
  </si>
  <si>
    <t>Tool:</t>
  </si>
  <si>
    <t>Task1</t>
  </si>
  <si>
    <t>Task2</t>
  </si>
  <si>
    <t>Task3</t>
  </si>
  <si>
    <t>Task4</t>
  </si>
  <si>
    <t>Task5</t>
  </si>
  <si>
    <t>Task6</t>
  </si>
  <si>
    <t>Task7</t>
  </si>
  <si>
    <t>Task8</t>
  </si>
  <si>
    <t>Start:</t>
  </si>
  <si>
    <t>End:</t>
  </si>
  <si>
    <t>Duration</t>
  </si>
  <si>
    <t>Below is the list of all the tasks that will be given to you in the user study. Please read them carefully and answer to the questions  based on your overall experience and expectation of using modelling tools.</t>
  </si>
  <si>
    <t>Event</t>
  </si>
  <si>
    <t>Guard</t>
  </si>
  <si>
    <t>Action</t>
  </si>
  <si>
    <t>Time on Task</t>
  </si>
  <si>
    <t>Total Time</t>
  </si>
  <si>
    <t>Models of software systems may contain errors and inconsistencies which can lead to serious flaws in the final product. In model-debugging tasks, you are supposed to locate and fix the errors that have already been embedded in model. Furthermore, you may be asked to perform a few modelling tasks that may or may not introduce new errors to the model. In such cases, if you believe that the task introduces new errors to the model, please fix them, otherwise, you can move to the next task.</t>
  </si>
  <si>
    <t>Please answer to the following questions based on your overall experience and expectation of using modelling tools.</t>
  </si>
  <si>
    <t>To what extent do you agree that inconsistencies should be prevented immediately rather than allowing them to exist and fix them at a later time?</t>
  </si>
  <si>
    <t>Task1: Find the GateID enumeration class. Rename the class name from GateID to GateIDs. If you believe that this change will introduce inconsistencies, please find them and fix them accordingly.</t>
  </si>
  <si>
    <t>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t>
  </si>
  <si>
    <t>Task3: Find class Gate and rename the position attribute to pos. Fix the inconsistencies, if any, that this task may introduce to the model.</t>
  </si>
  <si>
    <t>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t>
  </si>
  <si>
    <t>If enteringParkingLot is used in the event, change the event to goingThroughTheGate.</t>
  </si>
  <si>
    <t>If enteringParkingLot is used in the guard, delete the guard. Consequently, if the containing transition will have no event, guard, or action after deleting the guard, then delete the whole transition.</t>
  </si>
  <si>
    <t>If enteringParkingLot is used in the action/effect, delete the action. Consequently, if the containing transition will have no event, guard, or action after deleting the action, then delete the whole transition.</t>
  </si>
  <si>
    <t>Task5: The Sensor class has the Blockage attribute with the type of int. Change the Blockage attribute’s type from int to bool and find any inconsistencies it may occur.</t>
  </si>
  <si>
    <t>Task6: The Sensor class has the car_at_gate attribute with the type of bool. Change the car_at_gate attribute’s type from bool to int and find any inconsistencies it may occur.</t>
  </si>
  <si>
    <t>Please answer to the following questions based on your actual experience of using the tool in the study.</t>
  </si>
  <si>
    <t>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t>
  </si>
  <si>
    <t>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t>
  </si>
  <si>
    <t>To what extent do you agree that maintaining inconsistencies at all time is counter-productive and intrusive (disrupting the focus tasks)?</t>
  </si>
  <si>
    <t>Tasks</t>
  </si>
  <si>
    <t>Success</t>
  </si>
  <si>
    <t>Errors</t>
  </si>
  <si>
    <t>Diagram Views</t>
  </si>
  <si>
    <t>Were you able to fix it?</t>
  </si>
  <si>
    <t>P9</t>
  </si>
  <si>
    <t>VisualParadigm</t>
  </si>
  <si>
    <t>Thank you!</t>
  </si>
  <si>
    <t>CD,GC,CD,GA,GB,GC,GD</t>
  </si>
  <si>
    <t>CD,GD</t>
  </si>
  <si>
    <t>CD,GC,GB,GD,GA</t>
  </si>
  <si>
    <t>CD,GA,GB,GC,GD</t>
  </si>
  <si>
    <t>CD,GA,GC</t>
  </si>
  <si>
    <t>CD,GB,CD,GB</t>
  </si>
  <si>
    <t>CD,GC,GD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</si>
</sst>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FF0000"/>
      <name val="Calibri"/>
      <family val="2"/>
      <scheme val="minor"/>
    </font>
    <font>
      <b/>
      <sz val="12"/>
      <color rgb="FFC00000"/>
      <name val="Calibri"/>
      <family val="2"/>
      <scheme val="minor"/>
    </font>
    <font>
      <b/>
      <sz val="11"/>
      <name val="Calibri"/>
      <family val="2"/>
      <scheme val="minor"/>
    </font>
    <font>
      <sz val="11"/>
      <name val="Calibri"/>
      <family val="2"/>
      <scheme val="minor"/>
    </font>
    <font>
      <sz val="8"/>
      <color rgb="FF000000"/>
      <name val="Segoe UI"/>
      <family val="2"/>
    </font>
    <font>
      <b/>
      <i/>
      <sz val="11"/>
      <color theme="1"/>
      <name val="Calibri"/>
      <family val="2"/>
      <scheme val="minor"/>
    </font>
    <font>
      <b/>
      <sz val="13"/>
      <color theme="1"/>
      <name val="Times New Roman"/>
      <family val="1"/>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5">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8">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5" fillId="0" borderId="0" xfId="0" applyFont="1" applyAlignment="1">
      <alignment horizontal="left" vertical="top"/>
    </xf>
    <xf numFmtId="0" fontId="15" fillId="0" borderId="0" xfId="0" applyFont="1" applyAlignment="1">
      <alignment horizontal="center" vertical="top"/>
    </xf>
    <xf numFmtId="0" fontId="15" fillId="0" borderId="0" xfId="0" applyFont="1" applyAlignment="1">
      <alignment horizontal="center" vertical="top" wrapText="1"/>
    </xf>
    <xf numFmtId="0" fontId="15" fillId="0" borderId="0" xfId="0" applyFont="1" applyAlignment="1">
      <alignment vertical="top" wrapText="1"/>
    </xf>
    <xf numFmtId="0" fontId="15"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7" fillId="0" borderId="0" xfId="0" applyFont="1"/>
    <xf numFmtId="21" fontId="17"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2" fillId="5" borderId="0" xfId="0" applyFont="1" applyFill="1" applyAlignment="1">
      <alignment wrapText="1"/>
    </xf>
    <xf numFmtId="0" fontId="19" fillId="7" borderId="7" xfId="2" applyFont="1" applyBorder="1"/>
    <xf numFmtId="0" fontId="19" fillId="7" borderId="8" xfId="2" applyFont="1" applyBorder="1"/>
    <xf numFmtId="0" fontId="19" fillId="7" borderId="9" xfId="2" applyFont="1" applyBorder="1"/>
    <xf numFmtId="0" fontId="20" fillId="7" borderId="9" xfId="2" applyBorder="1"/>
    <xf numFmtId="0" fontId="20" fillId="7" borderId="10" xfId="2" applyBorder="1"/>
    <xf numFmtId="0" fontId="19" fillId="7" borderId="11" xfId="2" applyFont="1" applyBorder="1"/>
    <xf numFmtId="0" fontId="20" fillId="7" borderId="11" xfId="2" applyBorder="1"/>
    <xf numFmtId="0" fontId="20" fillId="7" borderId="12" xfId="2" applyBorder="1"/>
    <xf numFmtId="0" fontId="19" fillId="7" borderId="13" xfId="2" applyFont="1" applyBorder="1"/>
    <xf numFmtId="0" fontId="20" fillId="7" borderId="13" xfId="2" applyBorder="1"/>
    <xf numFmtId="0" fontId="20" fillId="7" borderId="14" xfId="2" applyBorder="1"/>
    <xf numFmtId="0" fontId="0" fillId="6" borderId="0" xfId="0" applyFill="1" applyAlignment="1">
      <alignment horizontal="center"/>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17" fillId="6" borderId="0" xfId="0" applyFont="1" applyFill="1" applyAlignment="1">
      <alignment horizontal="left" vertical="top" wrapText="1"/>
    </xf>
    <xf numFmtId="0" fontId="18" fillId="0" borderId="0" xfId="0" applyFont="1" applyAlignment="1">
      <alignment horizontal="justify" vertical="top" wrapText="1"/>
    </xf>
    <xf numFmtId="0" fontId="11" fillId="4" borderId="0" xfId="0" applyFont="1" applyFill="1" applyAlignment="1">
      <alignment horizontal="left" vertical="top" wrapText="1"/>
    </xf>
    <xf numFmtId="0" fontId="0" fillId="0" borderId="0" xfId="0" applyAlignment="1">
      <alignment horizontal="center"/>
    </xf>
    <xf numFmtId="0" fontId="9" fillId="5" borderId="0" xfId="0" applyFont="1" applyFill="1" applyAlignment="1">
      <alignment horizontal="left" vertical="center" wrapText="1"/>
    </xf>
    <xf numFmtId="0" fontId="9" fillId="5" borderId="0" xfId="0" applyFont="1" applyFill="1" applyAlignment="1">
      <alignment horizontal="left" wrapText="1"/>
    </xf>
    <xf numFmtId="0" fontId="9" fillId="5" borderId="0" xfId="0" applyFont="1" applyFill="1" applyAlignment="1">
      <alignment horizontal="center" wrapText="1"/>
    </xf>
    <xf numFmtId="0" fontId="7" fillId="0" borderId="0" xfId="0" applyFont="1" applyAlignment="1">
      <alignment horizontal="left"/>
    </xf>
    <xf numFmtId="0" fontId="14" fillId="0" borderId="0" xfId="0" applyFont="1" applyAlignment="1">
      <alignment horizontal="left" vertical="top" wrapText="1"/>
    </xf>
    <xf numFmtId="0" fontId="7" fillId="5" borderId="0" xfId="0" applyFont="1" applyFill="1" applyAlignment="1">
      <alignment horizontal="left"/>
    </xf>
    <xf numFmtId="0" fontId="9" fillId="0" borderId="0" xfId="0" applyFont="1" applyAlignment="1">
      <alignment horizontal="left" vertical="top" wrapText="1"/>
    </xf>
    <xf numFmtId="0" fontId="13" fillId="2" borderId="3" xfId="1" applyFont="1" applyBorder="1" applyAlignment="1">
      <alignment horizontal="center" vertical="center"/>
    </xf>
    <xf numFmtId="0" fontId="13" fillId="2" borderId="4" xfId="1" applyFont="1" applyBorder="1" applyAlignment="1">
      <alignment horizontal="center" vertical="center"/>
    </xf>
    <xf numFmtId="0" fontId="13" fillId="2" borderId="5" xfId="1" applyFont="1" applyBorder="1" applyAlignment="1">
      <alignment horizontal="center" vertical="center"/>
    </xf>
    <xf numFmtId="0" fontId="13" fillId="2" borderId="1" xfId="1" applyFont="1" applyAlignment="1">
      <alignment horizontal="center" vertical="center"/>
    </xf>
    <xf numFmtId="21" fontId="1" fillId="2" borderId="1" xfId="1" applyNumberFormat="1" applyAlignment="1">
      <alignment horizontal="center"/>
    </xf>
    <xf numFmtId="0" fontId="10" fillId="3" borderId="0" xfId="0" applyFont="1" applyFill="1" applyAlignment="1">
      <alignment horizontal="center"/>
    </xf>
    <xf numFmtId="0" fontId="10" fillId="3" borderId="2" xfId="0" applyFont="1" applyFill="1" applyBorder="1" applyAlignment="1">
      <alignment horizontal="center"/>
    </xf>
    <xf numFmtId="0" fontId="13" fillId="3" borderId="3" xfId="1" applyFont="1" applyFill="1" applyBorder="1" applyAlignment="1">
      <alignment horizontal="center" vertical="center"/>
    </xf>
    <xf numFmtId="0" fontId="13" fillId="3" borderId="4" xfId="1" applyFont="1" applyFill="1" applyBorder="1" applyAlignment="1">
      <alignment horizontal="center" vertical="center"/>
    </xf>
    <xf numFmtId="0" fontId="13" fillId="3" borderId="5" xfId="1" applyFont="1" applyFill="1" applyBorder="1" applyAlignment="1">
      <alignment horizontal="center" vertical="center"/>
    </xf>
    <xf numFmtId="0" fontId="13" fillId="3" borderId="1" xfId="1" applyFont="1" applyFill="1" applyAlignment="1">
      <alignment horizontal="center" vertical="center"/>
    </xf>
    <xf numFmtId="0" fontId="8" fillId="6" borderId="6" xfId="0" applyFont="1" applyFill="1" applyBorder="1" applyAlignment="1">
      <alignment horizontal="justify" vertical="top" wrapText="1"/>
    </xf>
    <xf numFmtId="0" fontId="8" fillId="6" borderId="0" xfId="0" applyFont="1" applyFill="1" applyBorder="1" applyAlignment="1">
      <alignment horizontal="justify" vertical="top" wrapText="1"/>
    </xf>
    <xf numFmtId="0" fontId="14" fillId="0" borderId="0" xfId="0" applyFont="1" applyAlignment="1">
      <alignment horizontal="justify" vertical="top" wrapText="1"/>
    </xf>
    <xf numFmtId="0" fontId="4" fillId="2" borderId="1" xfId="1" applyFont="1" applyAlignment="1">
      <alignment horizontal="center" vertical="center"/>
    </xf>
    <xf numFmtId="0" fontId="12" fillId="5" borderId="0" xfId="0" applyFont="1" applyFill="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499">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activeX1.xml><?xml version="1.0" encoding="utf-8"?>
<ax:ocx xmlns:ax="http://schemas.microsoft.com/office/2006/activeX" xmlns:r="http://schemas.openxmlformats.org/officeDocument/2006/relationships" ax:classid="{6BF52A52-394A-11D3-B153-00C04F79FAA6}">
  <ax:ocxPr ax:name="URL" ax:value=""/>
  <ax:ocxPr ax:name="rate" ax:value="1"/>
  <ax:ocxPr ax:name="balance" ax:value="0"/>
  <ax:ocxPr ax:name="currentPosition" ax:value="0"/>
  <ax:ocxPr ax:name="defaultFrame" ax:value=""/>
  <ax:ocxPr ax:name="playCount" ax:value="1"/>
  <ax:ocxPr ax:name="autoStart" ax:value="-1"/>
  <ax:ocxPr ax:name="currentMarker" ax:value="0"/>
  <ax:ocxPr ax:name="invokeURLs" ax:value="-1"/>
  <ax:ocxPr ax:name="baseURL" ax:value=""/>
  <ax:ocxPr ax:name="volume" ax:value="50"/>
  <ax:ocxPr ax:name="mute" ax:value="0"/>
  <ax:ocxPr ax:name="uiMode" ax:value="full"/>
  <ax:ocxPr ax:name="stretchToFit" ax:value="-1"/>
  <ax:ocxPr ax:name="windowlessVideo" ax:value="0"/>
  <ax:ocxPr ax:name="enabled" ax:value="-1"/>
  <ax:ocxPr ax:name="enableContextMenu" ax:value="-1"/>
  <ax:ocxPr ax:name="fullScreen" ax:value="0"/>
  <ax:ocxPr ax:name="SAMIStyle" ax:value=""/>
  <ax:ocxPr ax:name="SAMILang" ax:value=""/>
  <ax:ocxPr ax:name="SAMIFilename" ax:value=""/>
  <ax:ocxPr ax:name="captioningID" ax:value=""/>
  <ax:ocxPr ax:name="enableErrorDialogs" ax:value="0"/>
  <ax:ocxPr ax:name="_cx" ax:value="28575"/>
  <ax:ocxPr ax:name="_cy" ax:value="20743"/>
</ax:ocx>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161925</xdr:rowOff>
        </xdr:from>
        <xdr:to>
          <xdr:col>17</xdr:col>
          <xdr:colOff>57150</xdr:colOff>
          <xdr:row>41</xdr:row>
          <xdr:rowOff>9525</xdr:rowOff>
        </xdr:to>
        <xdr:sp macro="" textlink="">
          <xdr:nvSpPr>
            <xdr:cNvPr id="15365" name="WindowsMediaPlayer1"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19050</xdr:rowOff>
        </xdr:from>
        <xdr:to>
          <xdr:col>9</xdr:col>
          <xdr:colOff>9525</xdr:colOff>
          <xdr:row>13</xdr:row>
          <xdr:rowOff>38100</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12</xdr:row>
          <xdr:rowOff>19050</xdr:rowOff>
        </xdr:from>
        <xdr:to>
          <xdr:col>9</xdr:col>
          <xdr:colOff>590550</xdr:colOff>
          <xdr:row>13</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15</xdr:row>
          <xdr:rowOff>19050</xdr:rowOff>
        </xdr:from>
        <xdr:to>
          <xdr:col>9</xdr:col>
          <xdr:colOff>9525</xdr:colOff>
          <xdr:row>16</xdr:row>
          <xdr:rowOff>38100</xdr:rowOff>
        </xdr:to>
        <xdr:sp macro="" textlink="">
          <xdr:nvSpPr>
            <xdr:cNvPr id="7169" name="Check Box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15</xdr:row>
          <xdr:rowOff>19050</xdr:rowOff>
        </xdr:from>
        <xdr:to>
          <xdr:col>9</xdr:col>
          <xdr:colOff>590550</xdr:colOff>
          <xdr:row>16</xdr:row>
          <xdr:rowOff>38100</xdr:rowOff>
        </xdr:to>
        <xdr:sp macro="" textlink="">
          <xdr:nvSpPr>
            <xdr:cNvPr id="7170" name="Check Box 2" hidden="1">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9218" name="Check Box 2" hidden="1">
              <a:extLst>
                <a:ext uri="{63B3BB69-23CF-44E3-9099-C40C66FF867C}">
                  <a14:compatExt spid="_x0000_s9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13</xdr:row>
          <xdr:rowOff>19050</xdr:rowOff>
        </xdr:from>
        <xdr:to>
          <xdr:col>9</xdr:col>
          <xdr:colOff>9525</xdr:colOff>
          <xdr:row>14</xdr:row>
          <xdr:rowOff>38100</xdr:rowOff>
        </xdr:to>
        <xdr:sp macro="" textlink="">
          <xdr:nvSpPr>
            <xdr:cNvPr id="11265" name="Check Box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19050</xdr:rowOff>
        </xdr:from>
        <xdr:to>
          <xdr:col>9</xdr:col>
          <xdr:colOff>590550</xdr:colOff>
          <xdr:row>14</xdr:row>
          <xdr:rowOff>38100</xdr:rowOff>
        </xdr:to>
        <xdr:sp macro="" textlink="">
          <xdr:nvSpPr>
            <xdr:cNvPr id="11266" name="Check Box 2" hidden="1">
              <a:extLst>
                <a:ext uri="{63B3BB69-23CF-44E3-9099-C40C66FF867C}">
                  <a14:compatExt spid="_x0000_s11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7</xdr:col>
      <xdr:colOff>457200</xdr:colOff>
      <xdr:row>31</xdr:row>
      <xdr:rowOff>125942</xdr:rowOff>
    </xdr:from>
    <xdr:to>
      <xdr:col>9</xdr:col>
      <xdr:colOff>171450</xdr:colOff>
      <xdr:row>33</xdr:row>
      <xdr:rowOff>97367</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B3" sqref="B3"/>
    </sheetView>
  </sheetViews>
  <sheetFormatPr defaultRowHeight="15" x14ac:dyDescent="0.25"/>
  <cols>
    <col min="1" max="1" width="17" bestFit="1" customWidth="1"/>
    <col min="2" max="2" width="31.42578125" bestFit="1" customWidth="1"/>
  </cols>
  <sheetData>
    <row r="1" spans="1:2" s="2" customFormat="1" ht="28.5" x14ac:dyDescent="0.45">
      <c r="A1" s="1" t="s">
        <v>0</v>
      </c>
      <c r="B1" s="1" t="s">
        <v>65</v>
      </c>
    </row>
    <row r="2" spans="1:2" ht="28.5" x14ac:dyDescent="0.45">
      <c r="A2" s="1" t="s">
        <v>26</v>
      </c>
      <c r="B2" s="1" t="s">
        <v>66</v>
      </c>
    </row>
    <row r="3" spans="1:2" ht="48" customHeight="1" x14ac:dyDescent="0.25"/>
    <row r="4" spans="1:2" ht="28.5" x14ac:dyDescent="0.45">
      <c r="A4" s="1" t="s">
        <v>35</v>
      </c>
      <c r="B4" s="19">
        <v>43483.479699074072</v>
      </c>
    </row>
    <row r="5" spans="1:2" ht="28.5" x14ac:dyDescent="0.45">
      <c r="A5" s="1" t="s">
        <v>36</v>
      </c>
      <c r="B5" s="19">
        <v>43483.498703703706</v>
      </c>
    </row>
    <row r="6" spans="1:2" ht="28.5" x14ac:dyDescent="0.45">
      <c r="A6" s="1" t="s">
        <v>37</v>
      </c>
      <c r="B6" s="20">
        <f>B5-B4</f>
        <v>1.9004629633855075E-2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topLeftCell="A4" workbookViewId="0">
      <selection activeCell="U9" sqref="U9"/>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5365" r:id="rId3" name="WindowsMediaPlayer1">
          <controlPr defaultSize="0" autoLine="0" r:id="rId4">
            <anchor moveWithCells="1">
              <from>
                <xdr:col>0</xdr:col>
                <xdr:colOff>133350</xdr:colOff>
                <xdr:row>1</xdr:row>
                <xdr:rowOff>161925</xdr:rowOff>
              </from>
              <to>
                <xdr:col>17</xdr:col>
                <xdr:colOff>57150</xdr:colOff>
                <xdr:row>41</xdr:row>
                <xdr:rowOff>9525</xdr:rowOff>
              </to>
            </anchor>
          </controlPr>
        </control>
      </mc:Choice>
      <mc:Fallback>
        <control shapeId="15365" r:id="rId3" name="WindowsMediaPlayer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36"/>
  <sheetViews>
    <sheetView showGridLines="0" tabSelected="1" topLeftCell="A53" workbookViewId="0">
      <selection activeCell="S68" sqref="S68"/>
    </sheetView>
  </sheetViews>
  <sheetFormatPr defaultRowHeight="15" x14ac:dyDescent="0.25"/>
  <cols>
    <col min="16" max="16" width="12.7109375" bestFit="1" customWidth="1"/>
  </cols>
  <sheetData>
    <row r="1" spans="1:16" s="24" customFormat="1" ht="105" customHeight="1" x14ac:dyDescent="0.25">
      <c r="A1" s="61" t="s">
        <v>44</v>
      </c>
      <c r="B1" s="61"/>
      <c r="C1" s="61"/>
      <c r="D1" s="61"/>
      <c r="E1" s="61"/>
      <c r="F1" s="61"/>
      <c r="G1" s="61"/>
      <c r="H1" s="61"/>
      <c r="I1" s="61"/>
      <c r="J1" s="61"/>
      <c r="K1" s="61"/>
      <c r="L1" s="61"/>
      <c r="M1" s="61"/>
      <c r="N1" s="61"/>
      <c r="O1" s="61"/>
      <c r="P1" s="61"/>
    </row>
    <row r="2" spans="1:16" ht="48" customHeight="1" x14ac:dyDescent="0.25">
      <c r="A2" s="62" t="s">
        <v>38</v>
      </c>
      <c r="B2" s="62"/>
      <c r="C2" s="62"/>
      <c r="D2" s="62"/>
      <c r="E2" s="62"/>
      <c r="F2" s="62"/>
      <c r="G2" s="62"/>
      <c r="H2" s="62"/>
      <c r="I2" s="62"/>
      <c r="J2" s="62"/>
      <c r="K2" s="62"/>
      <c r="L2" s="62"/>
      <c r="M2" s="62"/>
      <c r="N2" s="62"/>
      <c r="O2" s="62"/>
      <c r="P2" s="62"/>
    </row>
    <row r="3" spans="1:16" x14ac:dyDescent="0.25">
      <c r="A3" s="25"/>
      <c r="B3" s="25"/>
      <c r="C3" s="25"/>
      <c r="D3" s="25"/>
      <c r="E3" s="25"/>
      <c r="F3" s="25"/>
      <c r="G3" s="25"/>
      <c r="H3" s="25"/>
      <c r="I3" s="25"/>
      <c r="J3" s="25"/>
      <c r="K3" s="25"/>
      <c r="L3" s="25"/>
      <c r="M3" s="25"/>
      <c r="N3" s="25"/>
      <c r="O3" s="25"/>
      <c r="P3" s="25"/>
    </row>
    <row r="4" spans="1:16" ht="15" customHeight="1" x14ac:dyDescent="0.25">
      <c r="A4" s="52" t="s">
        <v>47</v>
      </c>
      <c r="B4" s="52"/>
      <c r="C4" s="52"/>
      <c r="D4" s="52"/>
      <c r="E4" s="52"/>
      <c r="F4" s="52"/>
      <c r="G4" s="52"/>
      <c r="H4" s="52"/>
      <c r="I4" s="52"/>
      <c r="J4" s="52"/>
      <c r="K4" s="52"/>
      <c r="L4" s="52"/>
      <c r="M4" s="52"/>
      <c r="N4" s="52"/>
      <c r="O4" s="52"/>
      <c r="P4" s="52"/>
    </row>
    <row r="5" spans="1:16" ht="15" customHeight="1" x14ac:dyDescent="0.25">
      <c r="A5" s="52"/>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s="5" customFormat="1" x14ac:dyDescent="0.25">
      <c r="A7" s="53" t="s">
        <v>1</v>
      </c>
      <c r="B7" s="53"/>
      <c r="C7" s="53"/>
      <c r="D7" s="53"/>
      <c r="E7" s="53"/>
      <c r="F7" s="53"/>
      <c r="G7" s="30"/>
      <c r="H7" s="31" t="s">
        <v>2</v>
      </c>
      <c r="I7" s="32">
        <v>1</v>
      </c>
      <c r="J7" s="32">
        <v>2</v>
      </c>
      <c r="K7" s="32">
        <v>3</v>
      </c>
      <c r="L7" s="32">
        <v>4</v>
      </c>
      <c r="M7" s="32">
        <v>5</v>
      </c>
      <c r="N7" s="32">
        <v>6</v>
      </c>
      <c r="O7" s="32">
        <v>7</v>
      </c>
      <c r="P7" s="33" t="s">
        <v>3</v>
      </c>
    </row>
    <row r="8" spans="1:16" x14ac:dyDescent="0.25">
      <c r="A8" s="54"/>
      <c r="B8" s="54"/>
      <c r="C8" s="54"/>
      <c r="D8" s="54"/>
      <c r="E8" s="54"/>
      <c r="F8" s="54"/>
      <c r="G8" s="55" t="s">
        <v>4</v>
      </c>
      <c r="H8" s="56"/>
      <c r="I8" s="57">
        <v>2</v>
      </c>
      <c r="J8" s="58"/>
      <c r="K8" s="58"/>
      <c r="L8" s="58"/>
      <c r="M8" s="58"/>
      <c r="N8" s="58"/>
      <c r="O8" s="59"/>
      <c r="P8" s="34"/>
    </row>
    <row r="9" spans="1:16" x14ac:dyDescent="0.25">
      <c r="A9" s="54"/>
      <c r="B9" s="54"/>
      <c r="C9" s="54"/>
      <c r="D9" s="54"/>
      <c r="E9" s="54"/>
      <c r="F9" s="54"/>
      <c r="G9" s="54"/>
      <c r="H9" s="54"/>
      <c r="I9" s="54"/>
      <c r="J9" s="54"/>
      <c r="K9" s="54"/>
      <c r="L9" s="54"/>
      <c r="M9" s="54"/>
      <c r="N9" s="54"/>
      <c r="O9" s="54"/>
      <c r="P9" s="54"/>
    </row>
    <row r="10" spans="1:16" x14ac:dyDescent="0.25">
      <c r="A10" s="51"/>
      <c r="B10" s="51"/>
      <c r="C10" s="51"/>
      <c r="D10" s="51"/>
      <c r="E10" s="51"/>
      <c r="F10" s="51"/>
      <c r="G10" s="51"/>
      <c r="H10" s="51"/>
      <c r="I10" s="51"/>
      <c r="J10" s="51"/>
      <c r="K10" s="51"/>
      <c r="L10" s="51"/>
      <c r="M10" s="51"/>
      <c r="N10" s="51"/>
      <c r="O10" s="51"/>
      <c r="P10" s="25"/>
    </row>
    <row r="11" spans="1:16" ht="15" customHeight="1" x14ac:dyDescent="0.25">
      <c r="A11" s="52" t="s">
        <v>48</v>
      </c>
      <c r="B11" s="52"/>
      <c r="C11" s="52"/>
      <c r="D11" s="52"/>
      <c r="E11" s="52"/>
      <c r="F11" s="52"/>
      <c r="G11" s="52"/>
      <c r="H11" s="52"/>
      <c r="I11" s="52"/>
      <c r="J11" s="52"/>
      <c r="K11" s="52"/>
      <c r="L11" s="52"/>
      <c r="M11" s="52"/>
      <c r="N11" s="52"/>
      <c r="O11" s="52"/>
      <c r="P11" s="52"/>
    </row>
    <row r="12" spans="1:16" ht="15" customHeight="1" x14ac:dyDescent="0.25">
      <c r="A12" s="52"/>
      <c r="B12" s="52"/>
      <c r="C12" s="52"/>
      <c r="D12" s="52"/>
      <c r="E12" s="52"/>
      <c r="F12" s="52"/>
      <c r="G12" s="52"/>
      <c r="H12" s="52"/>
      <c r="I12" s="52"/>
      <c r="J12" s="52"/>
      <c r="K12" s="52"/>
      <c r="L12" s="52"/>
      <c r="M12" s="52"/>
      <c r="N12" s="52"/>
      <c r="O12" s="52"/>
      <c r="P12" s="52"/>
    </row>
    <row r="13" spans="1:16" ht="17.25" customHeight="1" x14ac:dyDescent="0.25">
      <c r="A13" s="52"/>
      <c r="B13" s="52"/>
      <c r="C13" s="52"/>
      <c r="D13" s="52"/>
      <c r="E13" s="52"/>
      <c r="F13" s="52"/>
      <c r="G13" s="52"/>
      <c r="H13" s="52"/>
      <c r="I13" s="52"/>
      <c r="J13" s="52"/>
      <c r="K13" s="52"/>
      <c r="L13" s="52"/>
      <c r="M13" s="52"/>
      <c r="N13" s="52"/>
      <c r="O13" s="52"/>
      <c r="P13" s="52"/>
    </row>
    <row r="14" spans="1:16" ht="15" customHeight="1" x14ac:dyDescent="0.25">
      <c r="A14" s="28"/>
      <c r="B14" s="29"/>
      <c r="C14" s="28"/>
      <c r="D14" s="28"/>
      <c r="E14" s="28"/>
      <c r="F14" s="28"/>
      <c r="G14" s="28"/>
      <c r="H14" s="28"/>
      <c r="I14" s="28"/>
      <c r="J14" s="28"/>
      <c r="K14" s="28"/>
      <c r="L14" s="28"/>
      <c r="M14" s="28"/>
      <c r="N14" s="28"/>
      <c r="O14" s="28"/>
      <c r="P14" s="28"/>
    </row>
    <row r="15" spans="1:16" x14ac:dyDescent="0.25">
      <c r="A15" s="53" t="s">
        <v>1</v>
      </c>
      <c r="B15" s="53"/>
      <c r="C15" s="53"/>
      <c r="D15" s="53"/>
      <c r="E15" s="53"/>
      <c r="F15" s="53"/>
      <c r="G15" s="30"/>
      <c r="H15" s="31" t="s">
        <v>2</v>
      </c>
      <c r="I15" s="32">
        <v>1</v>
      </c>
      <c r="J15" s="32">
        <v>2</v>
      </c>
      <c r="K15" s="32">
        <v>3</v>
      </c>
      <c r="L15" s="32">
        <v>4</v>
      </c>
      <c r="M15" s="32">
        <v>5</v>
      </c>
      <c r="N15" s="32">
        <v>6</v>
      </c>
      <c r="O15" s="32">
        <v>7</v>
      </c>
      <c r="P15" s="33" t="s">
        <v>3</v>
      </c>
    </row>
    <row r="16" spans="1:16" x14ac:dyDescent="0.25">
      <c r="A16" s="54"/>
      <c r="B16" s="54"/>
      <c r="C16" s="54"/>
      <c r="D16" s="54"/>
      <c r="E16" s="54"/>
      <c r="F16" s="54"/>
      <c r="G16" s="55" t="s">
        <v>4</v>
      </c>
      <c r="H16" s="56"/>
      <c r="I16" s="57">
        <v>2</v>
      </c>
      <c r="J16" s="58"/>
      <c r="K16" s="58"/>
      <c r="L16" s="58"/>
      <c r="M16" s="58"/>
      <c r="N16" s="58"/>
      <c r="O16" s="59"/>
      <c r="P16" s="34"/>
    </row>
    <row r="17" spans="1:16" x14ac:dyDescent="0.25">
      <c r="A17" s="54"/>
      <c r="B17" s="54"/>
      <c r="C17" s="54"/>
      <c r="D17" s="54"/>
      <c r="E17" s="54"/>
      <c r="F17" s="54"/>
      <c r="G17" s="54"/>
      <c r="H17" s="54"/>
      <c r="I17" s="54"/>
      <c r="J17" s="54"/>
      <c r="K17" s="54"/>
      <c r="L17" s="54"/>
      <c r="M17" s="54"/>
      <c r="N17" s="54"/>
      <c r="O17" s="54"/>
      <c r="P17" s="54"/>
    </row>
    <row r="18" spans="1:16" x14ac:dyDescent="0.25">
      <c r="A18" s="51"/>
      <c r="B18" s="51"/>
      <c r="C18" s="51"/>
      <c r="D18" s="51"/>
      <c r="E18" s="51"/>
      <c r="F18" s="51"/>
      <c r="G18" s="51"/>
      <c r="H18" s="51"/>
      <c r="I18" s="51"/>
      <c r="J18" s="51"/>
      <c r="K18" s="51"/>
      <c r="L18" s="51"/>
      <c r="M18" s="51"/>
      <c r="N18" s="51"/>
      <c r="O18" s="51"/>
      <c r="P18" s="51"/>
    </row>
    <row r="19" spans="1:16" x14ac:dyDescent="0.25">
      <c r="A19" s="52" t="s">
        <v>49</v>
      </c>
      <c r="B19" s="52"/>
      <c r="C19" s="52"/>
      <c r="D19" s="52"/>
      <c r="E19" s="52"/>
      <c r="F19" s="52"/>
      <c r="G19" s="52"/>
      <c r="H19" s="52"/>
      <c r="I19" s="52"/>
      <c r="J19" s="52"/>
      <c r="K19" s="52"/>
      <c r="L19" s="52"/>
      <c r="M19" s="52"/>
      <c r="N19" s="52"/>
      <c r="O19" s="52"/>
      <c r="P19" s="52"/>
    </row>
    <row r="20" spans="1:16" x14ac:dyDescent="0.25">
      <c r="A20" s="52"/>
      <c r="B20" s="52"/>
      <c r="C20" s="52"/>
      <c r="D20" s="52"/>
      <c r="E20" s="52"/>
      <c r="F20" s="52"/>
      <c r="G20" s="52"/>
      <c r="H20" s="52"/>
      <c r="I20" s="52"/>
      <c r="J20" s="52"/>
      <c r="K20" s="52"/>
      <c r="L20" s="52"/>
      <c r="M20" s="52"/>
      <c r="N20" s="52"/>
      <c r="O20" s="52"/>
      <c r="P20" s="52"/>
    </row>
    <row r="21" spans="1:16" x14ac:dyDescent="0.25">
      <c r="A21" s="53" t="s">
        <v>1</v>
      </c>
      <c r="B21" s="53"/>
      <c r="C21" s="53"/>
      <c r="D21" s="53"/>
      <c r="E21" s="53"/>
      <c r="F21" s="53"/>
      <c r="G21" s="30"/>
      <c r="H21" s="31" t="s">
        <v>2</v>
      </c>
      <c r="I21" s="32">
        <v>1</v>
      </c>
      <c r="J21" s="32">
        <v>2</v>
      </c>
      <c r="K21" s="32">
        <v>3</v>
      </c>
      <c r="L21" s="32">
        <v>4</v>
      </c>
      <c r="M21" s="32">
        <v>5</v>
      </c>
      <c r="N21" s="32">
        <v>6</v>
      </c>
      <c r="O21" s="32">
        <v>7</v>
      </c>
      <c r="P21" s="33" t="s">
        <v>3</v>
      </c>
    </row>
    <row r="22" spans="1:16" x14ac:dyDescent="0.25">
      <c r="A22" s="54"/>
      <c r="B22" s="54"/>
      <c r="C22" s="54"/>
      <c r="D22" s="54"/>
      <c r="E22" s="54"/>
      <c r="F22" s="54"/>
      <c r="G22" s="55" t="s">
        <v>4</v>
      </c>
      <c r="H22" s="56"/>
      <c r="I22" s="57">
        <v>2</v>
      </c>
      <c r="J22" s="58"/>
      <c r="K22" s="58"/>
      <c r="L22" s="58"/>
      <c r="M22" s="58"/>
      <c r="N22" s="58"/>
      <c r="O22" s="59"/>
      <c r="P22" s="34"/>
    </row>
    <row r="23" spans="1:16" x14ac:dyDescent="0.25">
      <c r="A23" s="54"/>
      <c r="B23" s="54"/>
      <c r="C23" s="54"/>
      <c r="D23" s="54"/>
      <c r="E23" s="54"/>
      <c r="F23" s="54"/>
      <c r="G23" s="54"/>
      <c r="H23" s="54"/>
      <c r="I23" s="54"/>
      <c r="J23" s="54"/>
      <c r="K23" s="54"/>
      <c r="L23" s="54"/>
      <c r="M23" s="54"/>
      <c r="N23" s="54"/>
      <c r="O23" s="54"/>
      <c r="P23" s="54"/>
    </row>
    <row r="24" spans="1:16" x14ac:dyDescent="0.25">
      <c r="A24" s="51"/>
      <c r="B24" s="51"/>
      <c r="C24" s="51"/>
      <c r="D24" s="51"/>
      <c r="E24" s="51"/>
      <c r="F24" s="51"/>
      <c r="G24" s="51"/>
      <c r="H24" s="51"/>
      <c r="I24" s="51"/>
      <c r="J24" s="51"/>
      <c r="K24" s="51"/>
      <c r="L24" s="51"/>
      <c r="M24" s="51"/>
      <c r="N24" s="51"/>
      <c r="O24" s="51"/>
      <c r="P24" s="25"/>
    </row>
    <row r="25" spans="1:16" ht="15" customHeight="1" x14ac:dyDescent="0.25">
      <c r="A25" s="52" t="s">
        <v>50</v>
      </c>
      <c r="B25" s="52"/>
      <c r="C25" s="52"/>
      <c r="D25" s="52"/>
      <c r="E25" s="52"/>
      <c r="F25" s="52"/>
      <c r="G25" s="52"/>
      <c r="H25" s="52"/>
      <c r="I25" s="52"/>
      <c r="J25" s="52"/>
      <c r="K25" s="52"/>
      <c r="L25" s="52"/>
      <c r="M25" s="52"/>
      <c r="N25" s="52"/>
      <c r="O25" s="52"/>
      <c r="P25" s="52"/>
    </row>
    <row r="26" spans="1:16" ht="21" customHeight="1" x14ac:dyDescent="0.25">
      <c r="A26" s="52"/>
      <c r="B26" s="52"/>
      <c r="C26" s="52"/>
      <c r="D26" s="52"/>
      <c r="E26" s="52"/>
      <c r="F26" s="52"/>
      <c r="G26" s="52"/>
      <c r="H26" s="52"/>
      <c r="I26" s="52"/>
      <c r="J26" s="52"/>
      <c r="K26" s="52"/>
      <c r="L26" s="52"/>
      <c r="M26" s="52"/>
      <c r="N26" s="52"/>
      <c r="O26" s="52"/>
      <c r="P26" s="52"/>
    </row>
    <row r="27" spans="1:16" ht="15.75" x14ac:dyDescent="0.25">
      <c r="A27" s="26"/>
      <c r="B27" s="26"/>
      <c r="C27" s="26"/>
      <c r="D27" s="26"/>
      <c r="E27" s="26"/>
      <c r="F27" s="26"/>
      <c r="G27" s="26"/>
      <c r="H27" s="26"/>
      <c r="I27" s="26"/>
      <c r="J27" s="26"/>
      <c r="K27" s="26"/>
      <c r="L27" s="26"/>
      <c r="M27" s="26"/>
      <c r="N27" s="26"/>
      <c r="O27" s="26"/>
      <c r="P27" s="26"/>
    </row>
    <row r="28" spans="1:16" ht="27.75" customHeight="1" x14ac:dyDescent="0.25">
      <c r="A28" s="28"/>
      <c r="B28" s="29" t="s">
        <v>39</v>
      </c>
      <c r="C28" s="60" t="s">
        <v>51</v>
      </c>
      <c r="D28" s="60"/>
      <c r="E28" s="60"/>
      <c r="F28" s="60"/>
      <c r="G28" s="60"/>
      <c r="H28" s="60"/>
      <c r="I28" s="60"/>
      <c r="J28" s="60"/>
      <c r="K28" s="60"/>
      <c r="L28" s="60"/>
      <c r="M28" s="60"/>
      <c r="N28" s="60"/>
      <c r="O28" s="60"/>
      <c r="P28" s="60"/>
    </row>
    <row r="29" spans="1:16" ht="39.75" customHeight="1" x14ac:dyDescent="0.25">
      <c r="A29" s="28"/>
      <c r="B29" s="29" t="s">
        <v>40</v>
      </c>
      <c r="C29" s="60" t="s">
        <v>52</v>
      </c>
      <c r="D29" s="60"/>
      <c r="E29" s="60"/>
      <c r="F29" s="60"/>
      <c r="G29" s="60"/>
      <c r="H29" s="60"/>
      <c r="I29" s="60"/>
      <c r="J29" s="60"/>
      <c r="K29" s="60"/>
      <c r="L29" s="60"/>
      <c r="M29" s="60"/>
      <c r="N29" s="60"/>
      <c r="O29" s="60"/>
      <c r="P29" s="60"/>
    </row>
    <row r="30" spans="1:16" ht="29.25" customHeight="1" x14ac:dyDescent="0.25">
      <c r="A30" s="28"/>
      <c r="B30" s="29" t="s">
        <v>41</v>
      </c>
      <c r="C30" s="60" t="s">
        <v>53</v>
      </c>
      <c r="D30" s="60"/>
      <c r="E30" s="60"/>
      <c r="F30" s="60"/>
      <c r="G30" s="60"/>
      <c r="H30" s="60"/>
      <c r="I30" s="60"/>
      <c r="J30" s="60"/>
      <c r="K30" s="60"/>
      <c r="L30" s="60"/>
      <c r="M30" s="60"/>
      <c r="N30" s="60"/>
      <c r="O30" s="60"/>
      <c r="P30" s="60"/>
    </row>
    <row r="31" spans="1:16" ht="15" customHeight="1" x14ac:dyDescent="0.25">
      <c r="A31" s="28"/>
      <c r="B31" s="29"/>
      <c r="C31" s="28"/>
      <c r="D31" s="28"/>
      <c r="E31" s="28"/>
      <c r="F31" s="28"/>
      <c r="G31" s="28"/>
      <c r="H31" s="28"/>
      <c r="I31" s="28"/>
      <c r="J31" s="28"/>
      <c r="K31" s="28"/>
      <c r="L31" s="28"/>
      <c r="M31" s="28"/>
      <c r="N31" s="28"/>
      <c r="O31" s="28"/>
      <c r="P31" s="28"/>
    </row>
    <row r="32" spans="1:16" x14ac:dyDescent="0.25">
      <c r="A32" s="53" t="s">
        <v>1</v>
      </c>
      <c r="B32" s="53"/>
      <c r="C32" s="53"/>
      <c r="D32" s="53"/>
      <c r="E32" s="53"/>
      <c r="F32" s="53"/>
      <c r="G32" s="30"/>
      <c r="H32" s="31" t="s">
        <v>2</v>
      </c>
      <c r="I32" s="32">
        <v>1</v>
      </c>
      <c r="J32" s="32">
        <v>2</v>
      </c>
      <c r="K32" s="32">
        <v>3</v>
      </c>
      <c r="L32" s="32">
        <v>4</v>
      </c>
      <c r="M32" s="32">
        <v>5</v>
      </c>
      <c r="N32" s="32">
        <v>6</v>
      </c>
      <c r="O32" s="32">
        <v>7</v>
      </c>
      <c r="P32" s="33" t="s">
        <v>3</v>
      </c>
    </row>
    <row r="33" spans="1:16" x14ac:dyDescent="0.25">
      <c r="A33" s="54"/>
      <c r="B33" s="54"/>
      <c r="C33" s="54"/>
      <c r="D33" s="54"/>
      <c r="E33" s="54"/>
      <c r="F33" s="54"/>
      <c r="G33" s="55" t="s">
        <v>4</v>
      </c>
      <c r="H33" s="56"/>
      <c r="I33" s="57">
        <v>3</v>
      </c>
      <c r="J33" s="58"/>
      <c r="K33" s="58"/>
      <c r="L33" s="58"/>
      <c r="M33" s="58"/>
      <c r="N33" s="58"/>
      <c r="O33" s="59"/>
      <c r="P33" s="34"/>
    </row>
    <row r="34" spans="1:16" x14ac:dyDescent="0.25">
      <c r="A34" s="54"/>
      <c r="B34" s="54"/>
      <c r="C34" s="54"/>
      <c r="D34" s="54"/>
      <c r="E34" s="54"/>
      <c r="F34" s="54"/>
      <c r="G34" s="54"/>
      <c r="H34" s="54"/>
      <c r="I34" s="54"/>
      <c r="J34" s="54"/>
      <c r="K34" s="54"/>
      <c r="L34" s="54"/>
      <c r="M34" s="54"/>
      <c r="N34" s="54"/>
      <c r="O34" s="54"/>
      <c r="P34" s="54"/>
    </row>
    <row r="35" spans="1:16" x14ac:dyDescent="0.25">
      <c r="A35" s="51"/>
      <c r="B35" s="51"/>
      <c r="C35" s="51"/>
      <c r="D35" s="51"/>
      <c r="E35" s="51"/>
      <c r="F35" s="51"/>
      <c r="G35" s="51"/>
      <c r="H35" s="51"/>
      <c r="I35" s="51"/>
      <c r="J35" s="51"/>
      <c r="K35" s="51"/>
      <c r="L35" s="51"/>
      <c r="M35" s="51"/>
      <c r="N35" s="51"/>
      <c r="O35" s="51"/>
      <c r="P35" s="25"/>
    </row>
    <row r="36" spans="1:16" x14ac:dyDescent="0.25">
      <c r="A36" s="52" t="s">
        <v>54</v>
      </c>
      <c r="B36" s="52"/>
      <c r="C36" s="52"/>
      <c r="D36" s="52"/>
      <c r="E36" s="52"/>
      <c r="F36" s="52"/>
      <c r="G36" s="52"/>
      <c r="H36" s="52"/>
      <c r="I36" s="52"/>
      <c r="J36" s="52"/>
      <c r="K36" s="52"/>
      <c r="L36" s="52"/>
      <c r="M36" s="52"/>
      <c r="N36" s="52"/>
      <c r="O36" s="52"/>
      <c r="P36" s="52"/>
    </row>
    <row r="37" spans="1:16" x14ac:dyDescent="0.25">
      <c r="A37" s="52"/>
      <c r="B37" s="52"/>
      <c r="C37" s="52"/>
      <c r="D37" s="52"/>
      <c r="E37" s="52"/>
      <c r="F37" s="52"/>
      <c r="G37" s="52"/>
      <c r="H37" s="52"/>
      <c r="I37" s="52"/>
      <c r="J37" s="52"/>
      <c r="K37" s="52"/>
      <c r="L37" s="52"/>
      <c r="M37" s="52"/>
      <c r="N37" s="52"/>
      <c r="O37" s="52"/>
      <c r="P37" s="52"/>
    </row>
    <row r="38" spans="1:16" x14ac:dyDescent="0.25">
      <c r="A38" s="52"/>
      <c r="B38" s="52"/>
      <c r="C38" s="52"/>
      <c r="D38" s="52"/>
      <c r="E38" s="52"/>
      <c r="F38" s="52"/>
      <c r="G38" s="52"/>
      <c r="H38" s="52"/>
      <c r="I38" s="52"/>
      <c r="J38" s="52"/>
      <c r="K38" s="52"/>
      <c r="L38" s="52"/>
      <c r="M38" s="52"/>
      <c r="N38" s="52"/>
      <c r="O38" s="52"/>
      <c r="P38" s="52"/>
    </row>
    <row r="39" spans="1:16" x14ac:dyDescent="0.25">
      <c r="A39" s="53" t="s">
        <v>1</v>
      </c>
      <c r="B39" s="53"/>
      <c r="C39" s="53"/>
      <c r="D39" s="53"/>
      <c r="E39" s="53"/>
      <c r="F39" s="53"/>
      <c r="G39" s="30"/>
      <c r="H39" s="31" t="s">
        <v>2</v>
      </c>
      <c r="I39" s="32">
        <v>1</v>
      </c>
      <c r="J39" s="32">
        <v>2</v>
      </c>
      <c r="K39" s="32">
        <v>3</v>
      </c>
      <c r="L39" s="32">
        <v>4</v>
      </c>
      <c r="M39" s="32">
        <v>5</v>
      </c>
      <c r="N39" s="32">
        <v>6</v>
      </c>
      <c r="O39" s="32">
        <v>7</v>
      </c>
      <c r="P39" s="33" t="s">
        <v>3</v>
      </c>
    </row>
    <row r="40" spans="1:16" x14ac:dyDescent="0.25">
      <c r="A40" s="54"/>
      <c r="B40" s="54"/>
      <c r="C40" s="54"/>
      <c r="D40" s="54"/>
      <c r="E40" s="54"/>
      <c r="F40" s="54"/>
      <c r="G40" s="55" t="s">
        <v>4</v>
      </c>
      <c r="H40" s="56"/>
      <c r="I40" s="57">
        <v>2</v>
      </c>
      <c r="J40" s="58"/>
      <c r="K40" s="58"/>
      <c r="L40" s="58"/>
      <c r="M40" s="58"/>
      <c r="N40" s="58"/>
      <c r="O40" s="59"/>
      <c r="P40" s="34"/>
    </row>
    <row r="41" spans="1:16" x14ac:dyDescent="0.25">
      <c r="A41" s="54"/>
      <c r="B41" s="54"/>
      <c r="C41" s="54"/>
      <c r="D41" s="54"/>
      <c r="E41" s="54"/>
      <c r="F41" s="54"/>
      <c r="G41" s="54"/>
      <c r="H41" s="54"/>
      <c r="I41" s="54"/>
      <c r="J41" s="54"/>
      <c r="K41" s="54"/>
      <c r="L41" s="54"/>
      <c r="M41" s="54"/>
      <c r="N41" s="54"/>
      <c r="O41" s="54"/>
      <c r="P41" s="54"/>
    </row>
    <row r="42" spans="1:16" x14ac:dyDescent="0.25">
      <c r="A42" s="51"/>
      <c r="B42" s="51"/>
      <c r="C42" s="51"/>
      <c r="D42" s="51"/>
      <c r="E42" s="51"/>
      <c r="F42" s="51"/>
      <c r="G42" s="51"/>
      <c r="H42" s="51"/>
      <c r="I42" s="51"/>
      <c r="J42" s="51"/>
      <c r="K42" s="51"/>
      <c r="L42" s="51"/>
      <c r="M42" s="51"/>
      <c r="N42" s="51"/>
      <c r="O42" s="51"/>
      <c r="P42" s="25"/>
    </row>
    <row r="43" spans="1:16" x14ac:dyDescent="0.25">
      <c r="A43" s="52" t="s">
        <v>55</v>
      </c>
      <c r="B43" s="52"/>
      <c r="C43" s="52"/>
      <c r="D43" s="52"/>
      <c r="E43" s="52"/>
      <c r="F43" s="52"/>
      <c r="G43" s="52"/>
      <c r="H43" s="52"/>
      <c r="I43" s="52"/>
      <c r="J43" s="52"/>
      <c r="K43" s="52"/>
      <c r="L43" s="52"/>
      <c r="M43" s="52"/>
      <c r="N43" s="52"/>
      <c r="O43" s="52"/>
      <c r="P43" s="52"/>
    </row>
    <row r="44" spans="1:16" x14ac:dyDescent="0.25">
      <c r="A44" s="52"/>
      <c r="B44" s="52"/>
      <c r="C44" s="52"/>
      <c r="D44" s="52"/>
      <c r="E44" s="52"/>
      <c r="F44" s="52"/>
      <c r="G44" s="52"/>
      <c r="H44" s="52"/>
      <c r="I44" s="52"/>
      <c r="J44" s="52"/>
      <c r="K44" s="52"/>
      <c r="L44" s="52"/>
      <c r="M44" s="52"/>
      <c r="N44" s="52"/>
      <c r="O44" s="52"/>
      <c r="P44" s="52"/>
    </row>
    <row r="45" spans="1:16" x14ac:dyDescent="0.25">
      <c r="A45" s="52"/>
      <c r="B45" s="52"/>
      <c r="C45" s="52"/>
      <c r="D45" s="52"/>
      <c r="E45" s="52"/>
      <c r="F45" s="52"/>
      <c r="G45" s="52"/>
      <c r="H45" s="52"/>
      <c r="I45" s="52"/>
      <c r="J45" s="52"/>
      <c r="K45" s="52"/>
      <c r="L45" s="52"/>
      <c r="M45" s="52"/>
      <c r="N45" s="52"/>
      <c r="O45" s="52"/>
      <c r="P45" s="52"/>
    </row>
    <row r="46" spans="1:16" x14ac:dyDescent="0.25">
      <c r="A46" s="53" t="s">
        <v>1</v>
      </c>
      <c r="B46" s="53"/>
      <c r="C46" s="53"/>
      <c r="D46" s="53"/>
      <c r="E46" s="53"/>
      <c r="F46" s="53"/>
      <c r="G46" s="30"/>
      <c r="H46" s="31" t="s">
        <v>2</v>
      </c>
      <c r="I46" s="32">
        <v>1</v>
      </c>
      <c r="J46" s="32">
        <v>2</v>
      </c>
      <c r="K46" s="32">
        <v>3</v>
      </c>
      <c r="L46" s="32">
        <v>4</v>
      </c>
      <c r="M46" s="32">
        <v>5</v>
      </c>
      <c r="N46" s="32">
        <v>6</v>
      </c>
      <c r="O46" s="32">
        <v>7</v>
      </c>
      <c r="P46" s="33" t="s">
        <v>3</v>
      </c>
    </row>
    <row r="47" spans="1:16" x14ac:dyDescent="0.25">
      <c r="A47" s="54"/>
      <c r="B47" s="54"/>
      <c r="C47" s="54"/>
      <c r="D47" s="54"/>
      <c r="E47" s="54"/>
      <c r="F47" s="54"/>
      <c r="G47" s="55" t="s">
        <v>4</v>
      </c>
      <c r="H47" s="56"/>
      <c r="I47" s="57">
        <v>2</v>
      </c>
      <c r="J47" s="58"/>
      <c r="K47" s="58"/>
      <c r="L47" s="58"/>
      <c r="M47" s="58"/>
      <c r="N47" s="58"/>
      <c r="O47" s="59"/>
      <c r="P47" s="34"/>
    </row>
    <row r="48" spans="1:16" x14ac:dyDescent="0.25">
      <c r="A48" s="54"/>
      <c r="B48" s="54"/>
      <c r="C48" s="54"/>
      <c r="D48" s="54"/>
      <c r="E48" s="54"/>
      <c r="F48" s="54"/>
      <c r="G48" s="54"/>
      <c r="H48" s="54"/>
      <c r="I48" s="54"/>
      <c r="J48" s="54"/>
      <c r="K48" s="54"/>
      <c r="L48" s="54"/>
      <c r="M48" s="54"/>
      <c r="N48" s="54"/>
      <c r="O48" s="54"/>
      <c r="P48" s="54"/>
    </row>
    <row r="49" spans="1:16" x14ac:dyDescent="0.25">
      <c r="A49" s="27"/>
      <c r="B49" s="27"/>
      <c r="C49" s="27"/>
      <c r="D49" s="27"/>
      <c r="E49" s="27"/>
      <c r="F49" s="27"/>
      <c r="G49" s="27"/>
      <c r="H49" s="27"/>
      <c r="I49" s="27"/>
      <c r="J49" s="27"/>
      <c r="K49" s="27"/>
      <c r="L49" s="27"/>
      <c r="M49" s="27"/>
      <c r="N49" s="27"/>
      <c r="O49" s="27"/>
      <c r="P49" s="25"/>
    </row>
    <row r="50" spans="1:16" x14ac:dyDescent="0.25">
      <c r="A50" s="52" t="s">
        <v>57</v>
      </c>
      <c r="B50" s="52"/>
      <c r="C50" s="52"/>
      <c r="D50" s="52"/>
      <c r="E50" s="52"/>
      <c r="F50" s="52"/>
      <c r="G50" s="52"/>
      <c r="H50" s="52"/>
      <c r="I50" s="52"/>
      <c r="J50" s="52"/>
      <c r="K50" s="52"/>
      <c r="L50" s="52"/>
      <c r="M50" s="52"/>
      <c r="N50" s="52"/>
      <c r="O50" s="52"/>
      <c r="P50" s="52"/>
    </row>
    <row r="51" spans="1:16" ht="54" customHeight="1" x14ac:dyDescent="0.25">
      <c r="A51" s="52"/>
      <c r="B51" s="52"/>
      <c r="C51" s="52"/>
      <c r="D51" s="52"/>
      <c r="E51" s="52"/>
      <c r="F51" s="52"/>
      <c r="G51" s="52"/>
      <c r="H51" s="52"/>
      <c r="I51" s="52"/>
      <c r="J51" s="52"/>
      <c r="K51" s="52"/>
      <c r="L51" s="52"/>
      <c r="M51" s="52"/>
      <c r="N51" s="52"/>
      <c r="O51" s="52"/>
      <c r="P51" s="52"/>
    </row>
    <row r="52" spans="1:16" ht="15.75" x14ac:dyDescent="0.25">
      <c r="A52" s="28"/>
      <c r="B52" s="28"/>
      <c r="C52" s="28"/>
      <c r="D52" s="28"/>
      <c r="E52" s="28"/>
      <c r="F52" s="28"/>
      <c r="G52" s="28"/>
      <c r="H52" s="28"/>
      <c r="I52" s="28"/>
      <c r="J52" s="28"/>
      <c r="K52" s="28"/>
      <c r="L52" s="28"/>
      <c r="M52" s="28"/>
      <c r="N52" s="28"/>
      <c r="O52" s="28"/>
      <c r="P52" s="28"/>
    </row>
    <row r="53" spans="1:16" x14ac:dyDescent="0.25">
      <c r="A53" s="53" t="s">
        <v>1</v>
      </c>
      <c r="B53" s="53"/>
      <c r="C53" s="53"/>
      <c r="D53" s="53"/>
      <c r="E53" s="53"/>
      <c r="F53" s="53"/>
      <c r="G53" s="30"/>
      <c r="H53" s="31" t="s">
        <v>2</v>
      </c>
      <c r="I53" s="32">
        <v>1</v>
      </c>
      <c r="J53" s="32">
        <v>2</v>
      </c>
      <c r="K53" s="32">
        <v>3</v>
      </c>
      <c r="L53" s="32">
        <v>4</v>
      </c>
      <c r="M53" s="32">
        <v>5</v>
      </c>
      <c r="N53" s="32">
        <v>6</v>
      </c>
      <c r="O53" s="32">
        <v>7</v>
      </c>
      <c r="P53" s="33" t="s">
        <v>3</v>
      </c>
    </row>
    <row r="54" spans="1:16" x14ac:dyDescent="0.25">
      <c r="A54" s="54"/>
      <c r="B54" s="54"/>
      <c r="C54" s="54"/>
      <c r="D54" s="54"/>
      <c r="E54" s="54"/>
      <c r="F54" s="54"/>
      <c r="G54" s="55" t="s">
        <v>4</v>
      </c>
      <c r="H54" s="56"/>
      <c r="I54" s="57">
        <v>3</v>
      </c>
      <c r="J54" s="58"/>
      <c r="K54" s="58"/>
      <c r="L54" s="58"/>
      <c r="M54" s="58"/>
      <c r="N54" s="58"/>
      <c r="O54" s="59"/>
      <c r="P54" s="34"/>
    </row>
    <row r="55" spans="1:16" x14ac:dyDescent="0.25">
      <c r="A55" s="54"/>
      <c r="B55" s="54"/>
      <c r="C55" s="54"/>
      <c r="D55" s="54"/>
      <c r="E55" s="54"/>
      <c r="F55" s="54"/>
      <c r="G55" s="54"/>
      <c r="H55" s="54"/>
      <c r="I55" s="54"/>
      <c r="J55" s="54"/>
      <c r="K55" s="54"/>
      <c r="L55" s="54"/>
      <c r="M55" s="54"/>
      <c r="N55" s="54"/>
      <c r="O55" s="54"/>
      <c r="P55" s="54"/>
    </row>
    <row r="56" spans="1:16" x14ac:dyDescent="0.25">
      <c r="A56" s="51"/>
      <c r="B56" s="51"/>
      <c r="C56" s="51"/>
      <c r="D56" s="51"/>
      <c r="E56" s="51"/>
      <c r="F56" s="51"/>
      <c r="G56" s="51"/>
      <c r="H56" s="51"/>
      <c r="I56" s="51"/>
      <c r="J56" s="51"/>
      <c r="K56" s="51"/>
      <c r="L56" s="51"/>
      <c r="M56" s="51"/>
      <c r="N56" s="51"/>
      <c r="O56" s="51"/>
      <c r="P56" s="25"/>
    </row>
    <row r="57" spans="1:16" x14ac:dyDescent="0.25">
      <c r="A57" s="52" t="s">
        <v>58</v>
      </c>
      <c r="B57" s="52"/>
      <c r="C57" s="52"/>
      <c r="D57" s="52"/>
      <c r="E57" s="52"/>
      <c r="F57" s="52"/>
      <c r="G57" s="52"/>
      <c r="H57" s="52"/>
      <c r="I57" s="52"/>
      <c r="J57" s="52"/>
      <c r="K57" s="52"/>
      <c r="L57" s="52"/>
      <c r="M57" s="52"/>
      <c r="N57" s="52"/>
      <c r="O57" s="52"/>
      <c r="P57" s="52"/>
    </row>
    <row r="58" spans="1:16" ht="18" customHeight="1" x14ac:dyDescent="0.25">
      <c r="A58" s="52"/>
      <c r="B58" s="52"/>
      <c r="C58" s="52"/>
      <c r="D58" s="52"/>
      <c r="E58" s="52"/>
      <c r="F58" s="52"/>
      <c r="G58" s="52"/>
      <c r="H58" s="52"/>
      <c r="I58" s="52"/>
      <c r="J58" s="52"/>
      <c r="K58" s="52"/>
      <c r="L58" s="52"/>
      <c r="M58" s="52"/>
      <c r="N58" s="52"/>
      <c r="O58" s="52"/>
      <c r="P58" s="52"/>
    </row>
    <row r="59" spans="1:16" x14ac:dyDescent="0.25">
      <c r="A59" s="53" t="s">
        <v>1</v>
      </c>
      <c r="B59" s="53"/>
      <c r="C59" s="53"/>
      <c r="D59" s="53"/>
      <c r="E59" s="53"/>
      <c r="F59" s="53"/>
      <c r="G59" s="30"/>
      <c r="H59" s="31" t="s">
        <v>2</v>
      </c>
      <c r="I59" s="32">
        <v>1</v>
      </c>
      <c r="J59" s="32">
        <v>2</v>
      </c>
      <c r="K59" s="32">
        <v>3</v>
      </c>
      <c r="L59" s="32">
        <v>4</v>
      </c>
      <c r="M59" s="32">
        <v>5</v>
      </c>
      <c r="N59" s="32">
        <v>6</v>
      </c>
      <c r="O59" s="32">
        <v>7</v>
      </c>
      <c r="P59" s="33" t="s">
        <v>3</v>
      </c>
    </row>
    <row r="60" spans="1:16" x14ac:dyDescent="0.25">
      <c r="A60" s="54"/>
      <c r="B60" s="54"/>
      <c r="C60" s="54"/>
      <c r="D60" s="54"/>
      <c r="E60" s="54"/>
      <c r="F60" s="54"/>
      <c r="G60" s="55" t="s">
        <v>4</v>
      </c>
      <c r="H60" s="56"/>
      <c r="I60" s="57">
        <v>4</v>
      </c>
      <c r="J60" s="58"/>
      <c r="K60" s="58"/>
      <c r="L60" s="58"/>
      <c r="M60" s="58"/>
      <c r="N60" s="58"/>
      <c r="O60" s="59"/>
      <c r="P60" s="34"/>
    </row>
    <row r="61" spans="1:16" x14ac:dyDescent="0.25">
      <c r="A61" s="54"/>
      <c r="B61" s="54"/>
      <c r="C61" s="54"/>
      <c r="D61" s="54"/>
      <c r="E61" s="54"/>
      <c r="F61" s="54"/>
      <c r="G61" s="54"/>
      <c r="H61" s="54"/>
      <c r="I61" s="54"/>
      <c r="J61" s="54"/>
      <c r="K61" s="54"/>
      <c r="L61" s="54"/>
      <c r="M61" s="54"/>
      <c r="N61" s="54"/>
      <c r="O61" s="54"/>
      <c r="P61" s="54"/>
    </row>
    <row r="64" spans="1:16" ht="21" x14ac:dyDescent="0.35">
      <c r="A64" s="8" t="s">
        <v>45</v>
      </c>
      <c r="B64" s="7"/>
      <c r="C64" s="7"/>
      <c r="D64" s="7"/>
      <c r="E64" s="7"/>
      <c r="F64" s="7"/>
      <c r="G64" s="7"/>
      <c r="H64" s="7"/>
      <c r="I64" s="7"/>
      <c r="J64" s="7"/>
      <c r="K64" s="7"/>
      <c r="L64" s="7"/>
      <c r="M64" s="7"/>
      <c r="N64" s="7"/>
      <c r="O64" s="7"/>
      <c r="P64" s="7"/>
    </row>
    <row r="65" spans="1:16" ht="39.75" customHeight="1" x14ac:dyDescent="0.25">
      <c r="A65" s="64" t="s">
        <v>46</v>
      </c>
      <c r="B65" s="64"/>
      <c r="C65" s="64"/>
      <c r="D65" s="64"/>
      <c r="E65" s="64"/>
      <c r="F65" s="64"/>
      <c r="G65" s="30"/>
      <c r="H65" s="39" t="s">
        <v>5</v>
      </c>
      <c r="I65" s="32">
        <v>1</v>
      </c>
      <c r="J65" s="32">
        <v>2</v>
      </c>
      <c r="K65" s="32">
        <v>3</v>
      </c>
      <c r="L65" s="32">
        <v>4</v>
      </c>
      <c r="M65" s="32">
        <v>5</v>
      </c>
      <c r="N65" s="32">
        <v>6</v>
      </c>
      <c r="O65" s="32">
        <v>7</v>
      </c>
      <c r="P65" s="39" t="s">
        <v>6</v>
      </c>
    </row>
    <row r="66" spans="1:16" ht="15" customHeight="1" x14ac:dyDescent="0.25">
      <c r="A66" s="54"/>
      <c r="B66" s="54"/>
      <c r="C66" s="54"/>
      <c r="D66" s="54"/>
      <c r="E66" s="54"/>
      <c r="F66" s="54"/>
      <c r="G66" s="55" t="s">
        <v>4</v>
      </c>
      <c r="H66" s="56"/>
      <c r="I66" s="57">
        <v>6</v>
      </c>
      <c r="J66" s="58"/>
      <c r="K66" s="58"/>
      <c r="L66" s="58"/>
      <c r="M66" s="58"/>
      <c r="N66" s="58"/>
      <c r="O66" s="59"/>
      <c r="P66" s="34"/>
    </row>
    <row r="67" spans="1:16" ht="15" customHeight="1" x14ac:dyDescent="0.25"/>
    <row r="68" spans="1:16" ht="15" customHeight="1" x14ac:dyDescent="0.25">
      <c r="A68" s="66" t="s">
        <v>21</v>
      </c>
      <c r="B68" s="66"/>
      <c r="C68" s="66"/>
      <c r="D68" s="66"/>
      <c r="E68" s="66"/>
      <c r="F68" s="66"/>
      <c r="G68" s="66"/>
      <c r="H68" s="66"/>
      <c r="I68" s="66"/>
      <c r="J68" s="66"/>
      <c r="K68" s="66"/>
      <c r="L68" s="66"/>
      <c r="M68" s="66"/>
      <c r="N68" s="66"/>
      <c r="O68" s="66"/>
      <c r="P68" s="66"/>
    </row>
    <row r="69" spans="1:16" ht="50.25" customHeight="1" x14ac:dyDescent="0.25">
      <c r="A69" s="65" t="s">
        <v>59</v>
      </c>
      <c r="B69" s="65"/>
      <c r="C69" s="65"/>
      <c r="D69" s="65"/>
      <c r="E69" s="65"/>
      <c r="F69" s="65"/>
      <c r="G69" s="30"/>
      <c r="H69" s="39" t="s">
        <v>5</v>
      </c>
      <c r="I69" s="32">
        <v>1</v>
      </c>
      <c r="J69" s="32">
        <v>2</v>
      </c>
      <c r="K69" s="32">
        <v>3</v>
      </c>
      <c r="L69" s="32">
        <v>4</v>
      </c>
      <c r="M69" s="32">
        <v>5</v>
      </c>
      <c r="N69" s="32">
        <v>6</v>
      </c>
      <c r="O69" s="32">
        <v>7</v>
      </c>
      <c r="P69" s="39" t="s">
        <v>6</v>
      </c>
    </row>
    <row r="70" spans="1:16" x14ac:dyDescent="0.25">
      <c r="A70" s="54"/>
      <c r="B70" s="54"/>
      <c r="C70" s="54"/>
      <c r="D70" s="54"/>
      <c r="E70" s="54"/>
      <c r="F70" s="54"/>
      <c r="G70" s="55" t="s">
        <v>4</v>
      </c>
      <c r="H70" s="56"/>
      <c r="I70" s="57"/>
      <c r="J70" s="58"/>
      <c r="K70" s="58"/>
      <c r="L70" s="58"/>
      <c r="M70" s="58"/>
      <c r="N70" s="58"/>
      <c r="O70" s="59"/>
      <c r="P70" s="34"/>
    </row>
    <row r="75" spans="1:16" x14ac:dyDescent="0.25">
      <c r="A75" s="63"/>
      <c r="B75" s="63"/>
      <c r="C75" s="63"/>
      <c r="D75" s="63"/>
      <c r="E75" s="63"/>
      <c r="F75" s="63"/>
      <c r="G75" s="63"/>
      <c r="H75" s="63"/>
      <c r="I75" s="63"/>
      <c r="J75" s="63"/>
      <c r="K75" s="63"/>
      <c r="L75" s="63"/>
      <c r="M75" s="63"/>
      <c r="N75" s="63"/>
      <c r="O75" s="63"/>
    </row>
    <row r="76" spans="1:16" x14ac:dyDescent="0.25">
      <c r="A76" s="63"/>
      <c r="B76" s="63"/>
      <c r="C76" s="63"/>
      <c r="D76" s="63"/>
      <c r="E76" s="63"/>
      <c r="F76" s="63"/>
      <c r="G76" s="63"/>
      <c r="H76" s="63"/>
      <c r="I76" s="63"/>
      <c r="J76" s="63"/>
      <c r="K76" s="63"/>
      <c r="L76" s="63"/>
      <c r="M76" s="63"/>
      <c r="N76" s="63"/>
      <c r="O76" s="63"/>
    </row>
    <row r="77" spans="1:16" x14ac:dyDescent="0.25">
      <c r="A77" s="63"/>
      <c r="B77" s="63"/>
      <c r="C77" s="63"/>
      <c r="D77" s="63"/>
      <c r="E77" s="63"/>
      <c r="F77" s="63"/>
      <c r="G77" s="63"/>
      <c r="H77" s="63"/>
      <c r="I77" s="63"/>
      <c r="J77" s="63"/>
      <c r="K77" s="63"/>
      <c r="L77" s="63"/>
      <c r="M77" s="63"/>
      <c r="N77" s="63"/>
      <c r="O77" s="63"/>
    </row>
    <row r="78" spans="1:16" x14ac:dyDescent="0.25">
      <c r="A78" s="63"/>
      <c r="B78" s="63"/>
      <c r="C78" s="63"/>
      <c r="D78" s="63"/>
      <c r="E78" s="63"/>
      <c r="F78" s="63"/>
      <c r="G78" s="63"/>
      <c r="H78" s="63"/>
      <c r="I78" s="63"/>
      <c r="J78" s="63"/>
      <c r="K78" s="63"/>
      <c r="L78" s="63"/>
      <c r="M78" s="63"/>
      <c r="N78" s="63"/>
      <c r="O78" s="63"/>
    </row>
    <row r="79" spans="1:16" x14ac:dyDescent="0.25">
      <c r="A79" s="63"/>
      <c r="B79" s="63"/>
      <c r="C79" s="63"/>
      <c r="D79" s="63"/>
      <c r="E79" s="63"/>
      <c r="F79" s="63"/>
      <c r="G79" s="63"/>
      <c r="H79" s="63"/>
      <c r="I79" s="63"/>
      <c r="J79" s="63"/>
      <c r="K79" s="63"/>
      <c r="L79" s="63"/>
      <c r="M79" s="63"/>
      <c r="N79" s="63"/>
      <c r="O79" s="63"/>
    </row>
    <row r="80" spans="1:16" x14ac:dyDescent="0.25">
      <c r="A80" s="63"/>
      <c r="B80" s="63"/>
      <c r="C80" s="63"/>
      <c r="D80" s="63"/>
      <c r="E80" s="63"/>
      <c r="F80" s="63"/>
      <c r="G80" s="63"/>
      <c r="H80" s="63"/>
      <c r="I80" s="63"/>
      <c r="J80" s="63"/>
      <c r="K80" s="63"/>
      <c r="L80" s="63"/>
      <c r="M80" s="63"/>
      <c r="N80" s="63"/>
      <c r="O80" s="63"/>
    </row>
    <row r="81" spans="1:15" x14ac:dyDescent="0.25">
      <c r="A81" s="63"/>
      <c r="B81" s="63"/>
      <c r="C81" s="63"/>
      <c r="D81" s="63"/>
      <c r="E81" s="63"/>
      <c r="F81" s="63"/>
      <c r="G81" s="63"/>
      <c r="H81" s="63"/>
      <c r="I81" s="63"/>
      <c r="J81" s="63"/>
      <c r="K81" s="63"/>
      <c r="L81" s="63"/>
      <c r="M81" s="63"/>
      <c r="N81" s="63"/>
      <c r="O81" s="63"/>
    </row>
    <row r="82" spans="1:15" x14ac:dyDescent="0.25">
      <c r="A82" s="63"/>
      <c r="B82" s="63"/>
      <c r="C82" s="63"/>
      <c r="D82" s="63"/>
      <c r="E82" s="63"/>
      <c r="F82" s="63"/>
      <c r="G82" s="63"/>
      <c r="H82" s="63"/>
      <c r="I82" s="63"/>
      <c r="J82" s="63"/>
      <c r="K82" s="63"/>
      <c r="L82" s="63"/>
      <c r="M82" s="63"/>
      <c r="N82" s="63"/>
      <c r="O82" s="63"/>
    </row>
    <row r="83" spans="1:15" x14ac:dyDescent="0.25">
      <c r="A83" s="63"/>
      <c r="B83" s="63"/>
      <c r="C83" s="63"/>
      <c r="D83" s="63"/>
      <c r="E83" s="63"/>
      <c r="F83" s="63"/>
      <c r="G83" s="63"/>
      <c r="H83" s="63"/>
      <c r="I83" s="63"/>
      <c r="J83" s="63"/>
      <c r="K83" s="63"/>
      <c r="L83" s="63"/>
      <c r="M83" s="63"/>
      <c r="N83" s="63"/>
      <c r="O83" s="6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130">
    <mergeCell ref="A48:P48"/>
    <mergeCell ref="A54:F54"/>
    <mergeCell ref="G54:H54"/>
    <mergeCell ref="I54:O54"/>
    <mergeCell ref="A55:P55"/>
    <mergeCell ref="C28:P28"/>
    <mergeCell ref="A33:F33"/>
    <mergeCell ref="G33:H33"/>
    <mergeCell ref="I33:O33"/>
    <mergeCell ref="A34:P34"/>
    <mergeCell ref="A40:F40"/>
    <mergeCell ref="A41:P41"/>
    <mergeCell ref="G40:H40"/>
    <mergeCell ref="I40:O40"/>
    <mergeCell ref="A47:F47"/>
    <mergeCell ref="G47:H47"/>
    <mergeCell ref="I47:O47"/>
    <mergeCell ref="A134:O134"/>
    <mergeCell ref="A135:O135"/>
    <mergeCell ref="A136:O136"/>
    <mergeCell ref="A7:F7"/>
    <mergeCell ref="A4:P6"/>
    <mergeCell ref="A11:P13"/>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4:O104"/>
    <mergeCell ref="A105:O105"/>
    <mergeCell ref="A106:O106"/>
    <mergeCell ref="A107:O107"/>
    <mergeCell ref="A108:O108"/>
    <mergeCell ref="A109:O109"/>
    <mergeCell ref="A98:O98"/>
    <mergeCell ref="A99:O99"/>
    <mergeCell ref="A100:O100"/>
    <mergeCell ref="A101:O101"/>
    <mergeCell ref="A102:O102"/>
    <mergeCell ref="A103:O103"/>
    <mergeCell ref="A92:O92"/>
    <mergeCell ref="A93:O93"/>
    <mergeCell ref="A94:O94"/>
    <mergeCell ref="A95:O95"/>
    <mergeCell ref="A96:O96"/>
    <mergeCell ref="A97:O97"/>
    <mergeCell ref="A86:O86"/>
    <mergeCell ref="A87:O87"/>
    <mergeCell ref="A88:O88"/>
    <mergeCell ref="A89:O89"/>
    <mergeCell ref="A90:O90"/>
    <mergeCell ref="A91:O91"/>
    <mergeCell ref="A80:O80"/>
    <mergeCell ref="A81:O81"/>
    <mergeCell ref="A82:O82"/>
    <mergeCell ref="A83:O83"/>
    <mergeCell ref="A84:O84"/>
    <mergeCell ref="A85:O85"/>
    <mergeCell ref="A75:O75"/>
    <mergeCell ref="A76:O76"/>
    <mergeCell ref="A77:O77"/>
    <mergeCell ref="A78:O78"/>
    <mergeCell ref="A79:O79"/>
    <mergeCell ref="A57:P58"/>
    <mergeCell ref="A59:F59"/>
    <mergeCell ref="A60:F60"/>
    <mergeCell ref="G60:H60"/>
    <mergeCell ref="I60:O60"/>
    <mergeCell ref="A61:P61"/>
    <mergeCell ref="A65:F65"/>
    <mergeCell ref="A69:F69"/>
    <mergeCell ref="I66:O66"/>
    <mergeCell ref="A66:F66"/>
    <mergeCell ref="G66:H66"/>
    <mergeCell ref="A70:F70"/>
    <mergeCell ref="G70:H70"/>
    <mergeCell ref="I70:O70"/>
    <mergeCell ref="A68:P68"/>
    <mergeCell ref="A1:P1"/>
    <mergeCell ref="A2:P2"/>
    <mergeCell ref="A19:P20"/>
    <mergeCell ref="A21:F21"/>
    <mergeCell ref="A15:F15"/>
    <mergeCell ref="A10:O10"/>
    <mergeCell ref="A17:P17"/>
    <mergeCell ref="A16:F16"/>
    <mergeCell ref="A8:F8"/>
    <mergeCell ref="A56:O56"/>
    <mergeCell ref="A50:P51"/>
    <mergeCell ref="A53:F53"/>
    <mergeCell ref="A43:P45"/>
    <mergeCell ref="A46:F46"/>
    <mergeCell ref="A18:P18"/>
    <mergeCell ref="A9:P9"/>
    <mergeCell ref="G8:H8"/>
    <mergeCell ref="I8:O8"/>
    <mergeCell ref="G16:H16"/>
    <mergeCell ref="I16:O16"/>
    <mergeCell ref="A22:F22"/>
    <mergeCell ref="G22:H22"/>
    <mergeCell ref="I22:O22"/>
    <mergeCell ref="A23:P23"/>
    <mergeCell ref="A42:O42"/>
    <mergeCell ref="A36:P38"/>
    <mergeCell ref="A39:F39"/>
    <mergeCell ref="C29:P29"/>
    <mergeCell ref="C30:P30"/>
    <mergeCell ref="A35:O35"/>
    <mergeCell ref="A32:F32"/>
    <mergeCell ref="A25:P26"/>
    <mergeCell ref="A24:O24"/>
  </mergeCells>
  <conditionalFormatting sqref="A7:P7 P8 A9:P9 A8">
    <cfRule type="expression" dxfId="498" priority="13">
      <formula>AND($I$8&gt;=1,$I$8&lt;=7)</formula>
    </cfRule>
  </conditionalFormatting>
  <conditionalFormatting sqref="A15:P15 P16 A17:P17 A16">
    <cfRule type="expression" dxfId="497" priority="12">
      <formula>AND($I$16&gt;=1,$I$16&lt;=7)</formula>
    </cfRule>
  </conditionalFormatting>
  <conditionalFormatting sqref="A21:P21 P22 A23:P23 A22">
    <cfRule type="expression" dxfId="496" priority="11">
      <formula>AND($I$22&gt;=1,$I$22&lt;=7)</formula>
    </cfRule>
  </conditionalFormatting>
  <conditionalFormatting sqref="A32:P32 P33 A34:P34 A33">
    <cfRule type="expression" dxfId="495" priority="10">
      <formula>AND($I$33&gt;=1,$I$33&lt;=7)</formula>
    </cfRule>
  </conditionalFormatting>
  <conditionalFormatting sqref="A39:P39 P40 A41:P41 A40">
    <cfRule type="expression" dxfId="494" priority="9">
      <formula>AND($I$40&gt;=1,$I$40&lt;=7)</formula>
    </cfRule>
  </conditionalFormatting>
  <conditionalFormatting sqref="A46:P46 P47 A48:P48 A47">
    <cfRule type="expression" dxfId="493" priority="8">
      <formula>AND($I$47&gt;=1,$I$47&lt;=7)</formula>
    </cfRule>
  </conditionalFormatting>
  <conditionalFormatting sqref="A53:P53 P54 A55:P55 A54">
    <cfRule type="expression" dxfId="492" priority="7">
      <formula>AND($I$54&gt;=1,$I$54&lt;=7)</formula>
    </cfRule>
  </conditionalFormatting>
  <conditionalFormatting sqref="A59:P59 P60 A61:P61 A60">
    <cfRule type="expression" dxfId="491" priority="6">
      <formula>AND($I$60&gt;=1,$I$60&lt;=7)</formula>
    </cfRule>
  </conditionalFormatting>
  <conditionalFormatting sqref="A65:P65 P66 A66">
    <cfRule type="expression" dxfId="490" priority="3">
      <formula>AND($I$66&gt;=1,$I$66&lt;=7)</formula>
    </cfRule>
  </conditionalFormatting>
  <conditionalFormatting sqref="A69:P69 P70 A70">
    <cfRule type="expression" dxfId="489" priority="2">
      <formula>AND($I$70&gt;=1,$I$70&lt;=7)</formula>
    </cfRule>
  </conditionalFormatting>
  <conditionalFormatting sqref="A68">
    <cfRule type="expression" dxfId="488" priority="1">
      <formula>AND($I$70&gt;=1,$I$70&lt;=7)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36"/>
  <sheetViews>
    <sheetView showGridLines="0" workbookViewId="0">
      <selection activeCell="H10" sqref="H10"/>
    </sheetView>
  </sheetViews>
  <sheetFormatPr defaultRowHeight="15" x14ac:dyDescent="0.25"/>
  <cols>
    <col min="16" max="16" width="12.7109375" bestFit="1" customWidth="1"/>
    <col min="17" max="17" width="14.85546875" bestFit="1" customWidth="1"/>
  </cols>
  <sheetData>
    <row r="1" spans="1:17" x14ac:dyDescent="0.25">
      <c r="A1" s="75" t="s">
        <v>42</v>
      </c>
      <c r="B1" s="75"/>
      <c r="C1" s="37">
        <f>Timings!$B$1</f>
        <v>1.9675925925925928E-3</v>
      </c>
      <c r="D1" s="36"/>
      <c r="E1" s="35"/>
      <c r="F1" s="35"/>
      <c r="G1" s="35"/>
      <c r="H1" s="35"/>
      <c r="I1" s="35"/>
      <c r="J1" s="35"/>
      <c r="K1" s="35"/>
      <c r="L1" s="35"/>
      <c r="M1" s="35"/>
      <c r="N1" s="75" t="s">
        <v>43</v>
      </c>
      <c r="O1" s="75"/>
      <c r="P1" s="37">
        <f ca="1">IF(Welcome!$B$4&lt;&gt;"",IF(Welcome!$B$5="",NOW()-Welcome!$B$4,Welcome!$B$6),"")</f>
        <v>1.9004629633855075E-2</v>
      </c>
      <c r="Q1" s="21"/>
    </row>
    <row r="2" spans="1:17" ht="30.75" customHeight="1" x14ac:dyDescent="0.25">
      <c r="A2" s="52" t="str">
        <f>ExpectationRating!A4</f>
        <v>Task1: Find the GateID enumeration class. Rename the class name from GateID to GateIDs. If you believe that this change will introduce inconsistencies, please find them and fix them accordingly.</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 customHeight="1" x14ac:dyDescent="0.25">
      <c r="A4" s="76" t="s">
        <v>1</v>
      </c>
      <c r="B4" s="76"/>
      <c r="C4" s="76"/>
      <c r="D4" s="76"/>
      <c r="E4" s="76"/>
      <c r="F4" s="76"/>
      <c r="G4" s="9"/>
      <c r="H4" s="10" t="s">
        <v>2</v>
      </c>
      <c r="I4" s="18">
        <v>1</v>
      </c>
      <c r="J4" s="18">
        <v>2</v>
      </c>
      <c r="K4" s="18">
        <v>3</v>
      </c>
      <c r="L4" s="18">
        <v>4</v>
      </c>
      <c r="M4" s="18">
        <v>5</v>
      </c>
      <c r="N4" s="18">
        <v>6</v>
      </c>
      <c r="O4" s="18">
        <v>7</v>
      </c>
      <c r="P4" s="9" t="s">
        <v>3</v>
      </c>
    </row>
    <row r="5" spans="1:17" ht="15" customHeight="1" x14ac:dyDescent="0.25">
      <c r="A5" s="10"/>
      <c r="B5" s="10"/>
      <c r="C5" s="10"/>
      <c r="D5" s="10"/>
      <c r="E5" s="10"/>
      <c r="F5" s="76" t="s">
        <v>7</v>
      </c>
      <c r="G5" s="77"/>
      <c r="H5" s="78">
        <f>ExpectationRating!I8</f>
        <v>2</v>
      </c>
      <c r="I5" s="79"/>
      <c r="J5" s="79"/>
      <c r="K5" s="79"/>
      <c r="L5" s="79"/>
      <c r="M5" s="79"/>
      <c r="N5" s="79"/>
      <c r="O5" s="79"/>
      <c r="P5" s="80"/>
    </row>
    <row r="6" spans="1:17" ht="15" customHeight="1" x14ac:dyDescent="0.25">
      <c r="A6" s="3"/>
      <c r="B6" s="3"/>
      <c r="C6" s="3"/>
      <c r="D6" s="3"/>
      <c r="E6" s="3"/>
      <c r="F6" s="3"/>
      <c r="G6" s="3"/>
      <c r="H6" s="3"/>
      <c r="I6" s="3"/>
      <c r="J6" s="3"/>
      <c r="K6" s="3"/>
      <c r="L6" s="3"/>
      <c r="M6" s="3"/>
      <c r="N6" s="3"/>
      <c r="O6" s="3"/>
    </row>
    <row r="7" spans="1:17" ht="15" customHeight="1" x14ac:dyDescent="0.25">
      <c r="A7" s="67" t="s">
        <v>9</v>
      </c>
      <c r="B7" s="67"/>
      <c r="C7" s="67"/>
      <c r="D7" s="67"/>
      <c r="E7" s="67"/>
      <c r="F7" s="67"/>
      <c r="G7" s="67"/>
      <c r="H7" s="67"/>
      <c r="I7" s="67"/>
      <c r="J7" s="67"/>
      <c r="K7" s="67"/>
      <c r="L7" s="67"/>
      <c r="M7" s="67"/>
      <c r="N7" s="67"/>
      <c r="O7" s="67"/>
      <c r="P7" s="67"/>
    </row>
    <row r="8" spans="1:17" s="5" customFormat="1" ht="32.25" customHeight="1" x14ac:dyDescent="0.25">
      <c r="A8" s="70" t="s">
        <v>8</v>
      </c>
      <c r="B8" s="70"/>
      <c r="C8" s="70"/>
      <c r="D8" s="70"/>
      <c r="E8" s="70"/>
      <c r="F8" s="70"/>
      <c r="G8" s="12"/>
      <c r="H8" s="6" t="s">
        <v>2</v>
      </c>
      <c r="I8" s="6">
        <v>1</v>
      </c>
      <c r="J8" s="6">
        <v>2</v>
      </c>
      <c r="K8" s="6">
        <v>3</v>
      </c>
      <c r="L8" s="6">
        <v>4</v>
      </c>
      <c r="M8" s="6">
        <v>5</v>
      </c>
      <c r="N8" s="6">
        <v>6</v>
      </c>
      <c r="O8" s="6">
        <v>7</v>
      </c>
      <c r="P8" s="6" t="s">
        <v>3</v>
      </c>
    </row>
    <row r="9" spans="1:17" ht="15.75" x14ac:dyDescent="0.25">
      <c r="A9" s="63"/>
      <c r="B9" s="63"/>
      <c r="C9" s="63"/>
      <c r="D9" s="63"/>
      <c r="E9" s="63"/>
      <c r="F9" s="55" t="s">
        <v>4</v>
      </c>
      <c r="G9" s="56"/>
      <c r="H9" s="71">
        <v>5</v>
      </c>
      <c r="I9" s="72"/>
      <c r="J9" s="72"/>
      <c r="K9" s="72"/>
      <c r="L9" s="72"/>
      <c r="M9" s="72"/>
      <c r="N9" s="72"/>
      <c r="O9" s="72"/>
      <c r="P9" s="73"/>
    </row>
    <row r="10" spans="1:17" x14ac:dyDescent="0.25">
      <c r="A10" s="3"/>
      <c r="B10" s="3"/>
      <c r="C10" s="3"/>
      <c r="D10" s="3"/>
      <c r="E10" s="3"/>
      <c r="F10" s="3"/>
      <c r="G10" s="3"/>
      <c r="H10" s="3"/>
      <c r="I10" s="3"/>
      <c r="J10" s="3"/>
      <c r="K10" s="3"/>
      <c r="L10" s="3"/>
      <c r="M10" s="3"/>
      <c r="N10" s="3"/>
      <c r="O10" s="3"/>
      <c r="P10" s="3"/>
    </row>
    <row r="11" spans="1:17" ht="15.75" x14ac:dyDescent="0.25">
      <c r="A11" s="67" t="s">
        <v>10</v>
      </c>
      <c r="B11" s="67"/>
      <c r="C11" s="67"/>
      <c r="D11" s="67"/>
      <c r="E11" s="67"/>
      <c r="F11" s="67"/>
      <c r="G11" s="67"/>
      <c r="H11" s="67"/>
      <c r="I11" s="67"/>
      <c r="J11" s="67"/>
      <c r="K11" s="67"/>
      <c r="L11" s="67"/>
      <c r="M11" s="67"/>
      <c r="N11" s="67"/>
      <c r="O11" s="67"/>
      <c r="P11" s="67"/>
    </row>
    <row r="12" spans="1:17" ht="25.5" customHeight="1" x14ac:dyDescent="0.25">
      <c r="A12" s="69" t="s">
        <v>13</v>
      </c>
      <c r="B12" s="69"/>
      <c r="C12" s="69"/>
      <c r="D12" s="69"/>
      <c r="E12" s="69"/>
      <c r="F12" s="69"/>
      <c r="G12" s="69"/>
      <c r="H12" s="69"/>
      <c r="I12" s="69"/>
      <c r="J12" s="69"/>
      <c r="K12" s="69"/>
      <c r="L12" s="69"/>
      <c r="M12" s="69"/>
      <c r="N12" s="69"/>
      <c r="O12" s="69"/>
      <c r="P12" s="69"/>
    </row>
    <row r="13" spans="1:17" ht="30" customHeight="1" x14ac:dyDescent="0.25">
      <c r="A13" s="68" t="s">
        <v>64</v>
      </c>
      <c r="B13" s="68"/>
      <c r="C13" s="68"/>
      <c r="D13" s="68"/>
      <c r="E13" s="68"/>
      <c r="F13" s="68"/>
      <c r="G13" s="13"/>
      <c r="H13" s="15" t="s">
        <v>5</v>
      </c>
      <c r="I13" s="14">
        <v>1</v>
      </c>
      <c r="J13" s="14">
        <v>2</v>
      </c>
      <c r="K13" s="14">
        <v>3</v>
      </c>
      <c r="L13" s="14">
        <v>4</v>
      </c>
      <c r="M13" s="14">
        <v>5</v>
      </c>
      <c r="N13" s="14">
        <v>6</v>
      </c>
      <c r="O13" s="14">
        <v>7</v>
      </c>
      <c r="P13" s="15" t="s">
        <v>6</v>
      </c>
    </row>
    <row r="14" spans="1:17" ht="15" customHeight="1" x14ac:dyDescent="0.25">
      <c r="A14" s="63"/>
      <c r="B14" s="63"/>
      <c r="C14" s="63"/>
      <c r="D14" s="63"/>
      <c r="E14" s="63"/>
      <c r="F14" s="55" t="s">
        <v>4</v>
      </c>
      <c r="G14" s="56"/>
      <c r="H14" s="74">
        <v>0</v>
      </c>
      <c r="I14" s="74"/>
      <c r="J14" s="74"/>
      <c r="K14" s="74"/>
      <c r="L14" s="74"/>
      <c r="M14" s="74"/>
      <c r="N14" s="74"/>
      <c r="O14" s="74"/>
      <c r="P14" s="74"/>
    </row>
    <row r="15" spans="1:17" ht="15" customHeight="1" x14ac:dyDescent="0.25">
      <c r="A15" s="3"/>
      <c r="B15" s="3"/>
      <c r="C15" s="3"/>
      <c r="D15" s="3"/>
      <c r="E15" s="3"/>
      <c r="F15" s="3"/>
      <c r="G15" s="3"/>
      <c r="H15" s="3"/>
      <c r="I15" s="3"/>
      <c r="J15" s="3"/>
      <c r="K15" s="3"/>
      <c r="L15" s="3"/>
      <c r="M15" s="3"/>
      <c r="N15" s="3"/>
      <c r="O15" s="3"/>
    </row>
    <row r="16" spans="1:17" ht="33" customHeight="1" x14ac:dyDescent="0.25">
      <c r="A16" s="68" t="s">
        <v>11</v>
      </c>
      <c r="B16" s="68"/>
      <c r="C16" s="68"/>
      <c r="D16" s="68"/>
      <c r="E16" s="68"/>
      <c r="F16" s="68"/>
      <c r="G16" s="13"/>
      <c r="H16" s="15" t="s">
        <v>5</v>
      </c>
      <c r="I16" s="14">
        <v>1</v>
      </c>
      <c r="J16" s="14">
        <v>2</v>
      </c>
      <c r="K16" s="14">
        <v>3</v>
      </c>
      <c r="L16" s="14">
        <v>4</v>
      </c>
      <c r="M16" s="14">
        <v>5</v>
      </c>
      <c r="N16" s="14">
        <v>6</v>
      </c>
      <c r="O16" s="14">
        <v>7</v>
      </c>
      <c r="P16" s="15" t="s">
        <v>6</v>
      </c>
    </row>
    <row r="17" spans="1:16" ht="15.75" x14ac:dyDescent="0.25">
      <c r="A17" s="63"/>
      <c r="B17" s="63"/>
      <c r="C17" s="63"/>
      <c r="D17" s="63"/>
      <c r="E17" s="63"/>
      <c r="F17" s="55" t="s">
        <v>4</v>
      </c>
      <c r="G17" s="56"/>
      <c r="H17" s="74">
        <v>0</v>
      </c>
      <c r="I17" s="74"/>
      <c r="J17" s="74"/>
      <c r="K17" s="74"/>
      <c r="L17" s="74"/>
      <c r="M17" s="74"/>
      <c r="N17" s="74"/>
      <c r="O17" s="74"/>
      <c r="P17" s="74"/>
    </row>
    <row r="18" spans="1:16" x14ac:dyDescent="0.25">
      <c r="A18" s="3"/>
      <c r="B18" s="3"/>
      <c r="C18" s="3"/>
      <c r="D18" s="3"/>
      <c r="E18" s="3"/>
      <c r="F18" s="3"/>
      <c r="G18" s="3"/>
      <c r="H18" s="3"/>
      <c r="I18" s="3"/>
      <c r="J18" s="3"/>
      <c r="K18" s="3"/>
      <c r="L18" s="3"/>
      <c r="M18" s="3"/>
      <c r="N18" s="3"/>
      <c r="O18" s="3"/>
      <c r="P18" s="3"/>
    </row>
    <row r="19" spans="1:16" ht="31.5" customHeight="1" x14ac:dyDescent="0.25">
      <c r="A19" s="68" t="s">
        <v>12</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0</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52">
    <mergeCell ref="A20:E20"/>
    <mergeCell ref="F20:G20"/>
    <mergeCell ref="H20:P20"/>
    <mergeCell ref="A1:B1"/>
    <mergeCell ref="N1:O1"/>
    <mergeCell ref="A2:P3"/>
    <mergeCell ref="A16:F16"/>
    <mergeCell ref="F17:G17"/>
    <mergeCell ref="H17:P17"/>
    <mergeCell ref="A19:F19"/>
    <mergeCell ref="H14:P14"/>
    <mergeCell ref="A17:E17"/>
    <mergeCell ref="A4:F4"/>
    <mergeCell ref="F5:G5"/>
    <mergeCell ref="H5:P5"/>
    <mergeCell ref="A14:E14"/>
    <mergeCell ref="A132:O132"/>
    <mergeCell ref="A133:O133"/>
    <mergeCell ref="A134:O134"/>
    <mergeCell ref="A121:O121"/>
    <mergeCell ref="A122:O122"/>
    <mergeCell ref="A123:O123"/>
    <mergeCell ref="A124:O124"/>
    <mergeCell ref="A125:O125"/>
    <mergeCell ref="A126:O126"/>
    <mergeCell ref="A127:O127"/>
    <mergeCell ref="A128:O128"/>
    <mergeCell ref="A135:O135"/>
    <mergeCell ref="A136:O136"/>
    <mergeCell ref="A119:O119"/>
    <mergeCell ref="A110:O110"/>
    <mergeCell ref="A111:O111"/>
    <mergeCell ref="A112:O112"/>
    <mergeCell ref="A113:O113"/>
    <mergeCell ref="A114:O114"/>
    <mergeCell ref="A115:O115"/>
    <mergeCell ref="A116:O116"/>
    <mergeCell ref="A117:O117"/>
    <mergeCell ref="A118:O118"/>
    <mergeCell ref="A129:O129"/>
    <mergeCell ref="A130:O130"/>
    <mergeCell ref="A131:O131"/>
    <mergeCell ref="A120:O120"/>
    <mergeCell ref="F14:G14"/>
    <mergeCell ref="A7:P7"/>
    <mergeCell ref="A9:E9"/>
    <mergeCell ref="A11:P11"/>
    <mergeCell ref="A13:F13"/>
    <mergeCell ref="A12:P12"/>
    <mergeCell ref="A8:F8"/>
    <mergeCell ref="F9:G9"/>
    <mergeCell ref="H9:P9"/>
  </mergeCells>
  <conditionalFormatting sqref="H19">
    <cfRule type="expression" dxfId="487" priority="9">
      <formula>AND(H20&gt;=1,H20&lt;=7)</formula>
    </cfRule>
  </conditionalFormatting>
  <conditionalFormatting sqref="A7:P8 A9 F9:P9">
    <cfRule type="expression" dxfId="486" priority="77">
      <formula>AND($H9&gt;=1,$H9&lt;=7)</formula>
    </cfRule>
  </conditionalFormatting>
  <conditionalFormatting sqref="A8:F8">
    <cfRule type="expression" dxfId="485" priority="76">
      <formula>AND(H9&gt;=1,H9&lt;=7)</formula>
    </cfRule>
  </conditionalFormatting>
  <conditionalFormatting sqref="G8">
    <cfRule type="expression" dxfId="484" priority="75">
      <formula>AND(H9&gt;=1,H9&lt;=7)</formula>
    </cfRule>
  </conditionalFormatting>
  <conditionalFormatting sqref="H8">
    <cfRule type="expression" dxfId="483" priority="74">
      <formula>AND(H9&gt;=1,H9&lt;=7)</formula>
    </cfRule>
  </conditionalFormatting>
  <conditionalFormatting sqref="I8">
    <cfRule type="expression" dxfId="482" priority="73">
      <formula>AND(H9&gt;=1,H9&lt;=7)</formula>
    </cfRule>
  </conditionalFormatting>
  <conditionalFormatting sqref="J8">
    <cfRule type="expression" dxfId="481" priority="72">
      <formula>AND(H9&gt;=1,H9&lt;=7)</formula>
    </cfRule>
  </conditionalFormatting>
  <conditionalFormatting sqref="K8">
    <cfRule type="expression" dxfId="480" priority="71">
      <formula>AND(H9&gt;=1,H9&lt;=7)</formula>
    </cfRule>
  </conditionalFormatting>
  <conditionalFormatting sqref="L8">
    <cfRule type="expression" dxfId="479" priority="70">
      <formula>AND(H9&gt;=1,H9&lt;=7)</formula>
    </cfRule>
  </conditionalFormatting>
  <conditionalFormatting sqref="M8">
    <cfRule type="expression" dxfId="478" priority="69">
      <formula>AND(H9&gt;=1,H9&lt;=7)</formula>
    </cfRule>
  </conditionalFormatting>
  <conditionalFormatting sqref="N8">
    <cfRule type="expression" dxfId="477" priority="68">
      <formula>AND(H9&gt;=1,H9&lt;=7)</formula>
    </cfRule>
  </conditionalFormatting>
  <conditionalFormatting sqref="O8">
    <cfRule type="expression" dxfId="476" priority="67">
      <formula>AND(H9&gt;=1,H9&lt;=7)</formula>
    </cfRule>
  </conditionalFormatting>
  <conditionalFormatting sqref="P8">
    <cfRule type="expression" dxfId="475" priority="66">
      <formula>AND(H9&gt;=1,H9&lt;=7)</formula>
    </cfRule>
  </conditionalFormatting>
  <conditionalFormatting sqref="A9:E9">
    <cfRule type="expression" dxfId="474" priority="65">
      <formula>AND(H9&gt;=1,H9&lt;=7)</formula>
    </cfRule>
  </conditionalFormatting>
  <conditionalFormatting sqref="H9:P9">
    <cfRule type="expression" dxfId="473" priority="64">
      <formula>AND(H9&gt;=1,H9&lt;=7)</formula>
    </cfRule>
  </conditionalFormatting>
  <conditionalFormatting sqref="A11:P11">
    <cfRule type="expression" dxfId="472" priority="63">
      <formula>AND($H13&gt;=1,$H13&lt;=7)</formula>
    </cfRule>
  </conditionalFormatting>
  <conditionalFormatting sqref="A13:P13 A14 F14:P14">
    <cfRule type="expression" dxfId="471" priority="62">
      <formula>AND($H15&gt;=1,$H15&lt;=7)</formula>
    </cfRule>
  </conditionalFormatting>
  <conditionalFormatting sqref="A13:F13">
    <cfRule type="expression" dxfId="470" priority="61">
      <formula>AND(H14&gt;=1,H14&lt;=7)</formula>
    </cfRule>
  </conditionalFormatting>
  <conditionalFormatting sqref="G13">
    <cfRule type="expression" dxfId="469" priority="60">
      <formula>AND(H14&gt;=1,H14&lt;=7)</formula>
    </cfRule>
  </conditionalFormatting>
  <conditionalFormatting sqref="H13">
    <cfRule type="expression" dxfId="468" priority="59">
      <formula>AND(H14&gt;=1,H14&lt;=7)</formula>
    </cfRule>
  </conditionalFormatting>
  <conditionalFormatting sqref="I13">
    <cfRule type="expression" dxfId="467" priority="58">
      <formula>AND(H14&gt;=1,H14&lt;=7)</formula>
    </cfRule>
  </conditionalFormatting>
  <conditionalFormatting sqref="J13">
    <cfRule type="expression" dxfId="466" priority="57">
      <formula>AND(H14&gt;=1,H14&lt;=7)</formula>
    </cfRule>
  </conditionalFormatting>
  <conditionalFormatting sqref="K13">
    <cfRule type="expression" dxfId="465" priority="56">
      <formula>AND(H14&gt;=1,H14&lt;=7)</formula>
    </cfRule>
  </conditionalFormatting>
  <conditionalFormatting sqref="L13">
    <cfRule type="expression" dxfId="464" priority="55">
      <formula>AND(H14&gt;=1,H14&lt;=7)</formula>
    </cfRule>
  </conditionalFormatting>
  <conditionalFormatting sqref="M13">
    <cfRule type="expression" dxfId="463" priority="54">
      <formula>AND(H14&gt;=1,H14&lt;=7)</formula>
    </cfRule>
  </conditionalFormatting>
  <conditionalFormatting sqref="N13">
    <cfRule type="expression" dxfId="462" priority="53">
      <formula>AND(H14&gt;=1,H14&lt;=7)</formula>
    </cfRule>
  </conditionalFormatting>
  <conditionalFormatting sqref="O13">
    <cfRule type="expression" dxfId="461" priority="52">
      <formula>AND(H14&gt;=1,H14&lt;=7)</formula>
    </cfRule>
  </conditionalFormatting>
  <conditionalFormatting sqref="P13">
    <cfRule type="expression" dxfId="460" priority="51">
      <formula>AND(H14&gt;=1,H14&lt;=7)</formula>
    </cfRule>
  </conditionalFormatting>
  <conditionalFormatting sqref="A14:E14">
    <cfRule type="expression" dxfId="459" priority="50">
      <formula>AND(H14&gt;=1,H14&lt;=7)</formula>
    </cfRule>
  </conditionalFormatting>
  <conditionalFormatting sqref="H14:P14">
    <cfRule type="expression" dxfId="458" priority="49">
      <formula>AND(H14&gt;=1,H14&lt;=7)</formula>
    </cfRule>
  </conditionalFormatting>
  <conditionalFormatting sqref="A16:G16 A17 F17:P17">
    <cfRule type="expression" dxfId="457" priority="48">
      <formula>AND($H18&gt;=1,$H18&lt;=7)</formula>
    </cfRule>
  </conditionalFormatting>
  <conditionalFormatting sqref="A16:F16">
    <cfRule type="expression" dxfId="456" priority="47">
      <formula>AND(H17&gt;=1,H17&lt;=7)</formula>
    </cfRule>
  </conditionalFormatting>
  <conditionalFormatting sqref="G16">
    <cfRule type="expression" dxfId="455" priority="46">
      <formula>AND(H17&gt;=1,H17&lt;=7)</formula>
    </cfRule>
  </conditionalFormatting>
  <conditionalFormatting sqref="A17:E17">
    <cfRule type="expression" dxfId="454" priority="36">
      <formula>AND(H17&gt;=1,H17&lt;=7)</formula>
    </cfRule>
  </conditionalFormatting>
  <conditionalFormatting sqref="H17:P17">
    <cfRule type="expression" dxfId="453" priority="35">
      <formula>AND(H17&gt;=1,H17&lt;=7)</formula>
    </cfRule>
  </conditionalFormatting>
  <conditionalFormatting sqref="A19:G19 A20 F20:P20">
    <cfRule type="expression" dxfId="452" priority="34">
      <formula>AND($H21&gt;=1,$H21&lt;=7)</formula>
    </cfRule>
  </conditionalFormatting>
  <conditionalFormatting sqref="A19:F19">
    <cfRule type="expression" dxfId="451" priority="33">
      <formula>AND(H20&gt;=1,H20&lt;=7)</formula>
    </cfRule>
  </conditionalFormatting>
  <conditionalFormatting sqref="G19">
    <cfRule type="expression" dxfId="450" priority="32">
      <formula>AND(H20&gt;=1,H20&lt;=7)</formula>
    </cfRule>
  </conditionalFormatting>
  <conditionalFormatting sqref="A20:E20">
    <cfRule type="expression" dxfId="449" priority="22">
      <formula>AND(H20&gt;=1,H20&lt;=7)</formula>
    </cfRule>
  </conditionalFormatting>
  <conditionalFormatting sqref="H20:P20">
    <cfRule type="expression" dxfId="448" priority="21">
      <formula>AND(H20&gt;=1,H20&lt;=7)</formula>
    </cfRule>
  </conditionalFormatting>
  <conditionalFormatting sqref="H16:P16">
    <cfRule type="expression" dxfId="447" priority="20">
      <formula>AND($H18&gt;=1,$H18&lt;=7)</formula>
    </cfRule>
  </conditionalFormatting>
  <conditionalFormatting sqref="H16">
    <cfRule type="expression" dxfId="446" priority="19">
      <formula>AND(H17&gt;=1,H17&lt;=7)</formula>
    </cfRule>
  </conditionalFormatting>
  <conditionalFormatting sqref="I16">
    <cfRule type="expression" dxfId="445" priority="18">
      <formula>AND(H17&gt;=1,H17&lt;=7)</formula>
    </cfRule>
  </conditionalFormatting>
  <conditionalFormatting sqref="J16">
    <cfRule type="expression" dxfId="444" priority="17">
      <formula>AND(H17&gt;=1,H17&lt;=7)</formula>
    </cfRule>
  </conditionalFormatting>
  <conditionalFormatting sqref="K16">
    <cfRule type="expression" dxfId="443" priority="16">
      <formula>AND(H17&gt;=1,H17&lt;=7)</formula>
    </cfRule>
  </conditionalFormatting>
  <conditionalFormatting sqref="L16">
    <cfRule type="expression" dxfId="442" priority="15">
      <formula>AND(H17&gt;=1,H17&lt;=7)</formula>
    </cfRule>
  </conditionalFormatting>
  <conditionalFormatting sqref="M16">
    <cfRule type="expression" dxfId="441" priority="14">
      <formula>AND(H17&gt;=1,H17&lt;=7)</formula>
    </cfRule>
  </conditionalFormatting>
  <conditionalFormatting sqref="N16">
    <cfRule type="expression" dxfId="440" priority="13">
      <formula>AND(H17&gt;=1,H17&lt;=7)</formula>
    </cfRule>
  </conditionalFormatting>
  <conditionalFormatting sqref="O16">
    <cfRule type="expression" dxfId="439" priority="12">
      <formula>AND(H17&gt;=1,H17&lt;=7)</formula>
    </cfRule>
  </conditionalFormatting>
  <conditionalFormatting sqref="P16">
    <cfRule type="expression" dxfId="438" priority="11">
      <formula>AND(H17&gt;=1,H17&lt;=7)</formula>
    </cfRule>
  </conditionalFormatting>
  <conditionalFormatting sqref="H19:P19">
    <cfRule type="expression" dxfId="437" priority="10">
      <formula>AND($H21&gt;=1,$H21&lt;=7)</formula>
    </cfRule>
  </conditionalFormatting>
  <conditionalFormatting sqref="I19">
    <cfRule type="expression" dxfId="436" priority="8">
      <formula>AND(H20&gt;=1,H20&lt;=7)</formula>
    </cfRule>
  </conditionalFormatting>
  <conditionalFormatting sqref="J19">
    <cfRule type="expression" dxfId="435" priority="7">
      <formula>AND(H20&gt;=1,H20&lt;=7)</formula>
    </cfRule>
  </conditionalFormatting>
  <conditionalFormatting sqref="K19">
    <cfRule type="expression" dxfId="434" priority="6">
      <formula>AND(H20&gt;=1,H20&lt;=7)</formula>
    </cfRule>
  </conditionalFormatting>
  <conditionalFormatting sqref="L19">
    <cfRule type="expression" dxfId="433" priority="5">
      <formula>AND(H20&gt;=1,H20&lt;=7)</formula>
    </cfRule>
  </conditionalFormatting>
  <conditionalFormatting sqref="M19">
    <cfRule type="expression" dxfId="432" priority="4">
      <formula>AND(H20&gt;=1,H20&lt;=7)</formula>
    </cfRule>
  </conditionalFormatting>
  <conditionalFormatting sqref="N19">
    <cfRule type="expression" dxfId="431" priority="3">
      <formula>AND(H20&gt;=1,H20&lt;=7)</formula>
    </cfRule>
  </conditionalFormatting>
  <conditionalFormatting sqref="O19">
    <cfRule type="expression" dxfId="430" priority="2">
      <formula>AND(H20&gt;=1,H20&lt;=7)</formula>
    </cfRule>
  </conditionalFormatting>
  <conditionalFormatting sqref="P19">
    <cfRule type="expression" dxfId="429"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5122"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38"/>
  <sheetViews>
    <sheetView showGridLines="0" workbookViewId="0">
      <selection activeCell="A13" sqref="A13:P13"/>
    </sheetView>
  </sheetViews>
  <sheetFormatPr defaultRowHeight="15" x14ac:dyDescent="0.25"/>
  <cols>
    <col min="16" max="16" width="12.7109375" bestFit="1" customWidth="1"/>
  </cols>
  <sheetData>
    <row r="1" spans="1:16" x14ac:dyDescent="0.25">
      <c r="A1" s="75" t="s">
        <v>42</v>
      </c>
      <c r="B1" s="75"/>
      <c r="C1" s="37">
        <f>Timings!$B$2</f>
        <v>1.8171296296296297E-3</v>
      </c>
      <c r="D1" s="36"/>
      <c r="E1" s="35"/>
      <c r="F1" s="35"/>
      <c r="G1" s="35"/>
      <c r="H1" s="35"/>
      <c r="I1" s="35"/>
      <c r="J1" s="35"/>
      <c r="K1" s="35"/>
      <c r="L1" s="35"/>
      <c r="M1" s="35"/>
      <c r="N1" s="75" t="s">
        <v>43</v>
      </c>
      <c r="O1" s="75"/>
      <c r="P1" s="37">
        <f ca="1">IF(Welcome!$B$4&lt;&gt;"",IF(Welcome!$B$5="",NOW()-Welcome!$B$4,Welcome!$B$6),"")</f>
        <v>1.9004629633855075E-2</v>
      </c>
    </row>
    <row r="2" spans="1:16" ht="15" customHeight="1" x14ac:dyDescent="0.25">
      <c r="A2" s="52" t="str">
        <f>ExpectationRating!A11</f>
        <v>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21.75" customHeight="1" x14ac:dyDescent="0.25">
      <c r="A4" s="52"/>
      <c r="B4" s="52"/>
      <c r="C4" s="52"/>
      <c r="D4" s="52"/>
      <c r="E4" s="52"/>
      <c r="F4" s="52"/>
      <c r="G4" s="52"/>
      <c r="H4" s="52"/>
      <c r="I4" s="52"/>
      <c r="J4" s="52"/>
      <c r="K4" s="52"/>
      <c r="L4" s="52"/>
      <c r="M4" s="52"/>
      <c r="N4" s="52"/>
      <c r="O4" s="52"/>
      <c r="P4" s="52"/>
    </row>
    <row r="5" spans="1:16" ht="15" customHeight="1" x14ac:dyDescent="0.25">
      <c r="A5" s="28"/>
      <c r="B5" s="29"/>
      <c r="C5" s="28"/>
      <c r="D5" s="28"/>
      <c r="E5" s="28"/>
      <c r="F5" s="28"/>
      <c r="G5" s="28"/>
      <c r="H5" s="28"/>
      <c r="I5" s="28"/>
      <c r="J5" s="28"/>
      <c r="K5" s="28"/>
      <c r="L5" s="28"/>
      <c r="M5" s="28"/>
      <c r="N5" s="28"/>
      <c r="O5" s="28"/>
      <c r="P5" s="28"/>
    </row>
    <row r="6" spans="1:16" ht="15" customHeight="1" x14ac:dyDescent="0.25">
      <c r="A6" s="76" t="s">
        <v>1</v>
      </c>
      <c r="B6" s="76"/>
      <c r="C6" s="76"/>
      <c r="D6" s="76"/>
      <c r="E6" s="76"/>
      <c r="F6" s="76"/>
      <c r="G6" s="9"/>
      <c r="H6" s="10" t="s">
        <v>2</v>
      </c>
      <c r="I6" s="11">
        <v>1</v>
      </c>
      <c r="J6" s="11">
        <v>2</v>
      </c>
      <c r="K6" s="11">
        <v>3</v>
      </c>
      <c r="L6" s="11">
        <v>4</v>
      </c>
      <c r="M6" s="11">
        <v>5</v>
      </c>
      <c r="N6" s="11">
        <v>6</v>
      </c>
      <c r="O6" s="11">
        <v>7</v>
      </c>
      <c r="P6" s="9" t="s">
        <v>3</v>
      </c>
    </row>
    <row r="7" spans="1:16" ht="15" customHeight="1" x14ac:dyDescent="0.25">
      <c r="A7" s="10"/>
      <c r="B7" s="10"/>
      <c r="C7" s="10"/>
      <c r="D7" s="10"/>
      <c r="E7" s="10"/>
      <c r="F7" s="76" t="s">
        <v>7</v>
      </c>
      <c r="G7" s="77"/>
      <c r="H7" s="78">
        <f>ExpectationRating!I16</f>
        <v>2</v>
      </c>
      <c r="I7" s="79"/>
      <c r="J7" s="79"/>
      <c r="K7" s="79"/>
      <c r="L7" s="79"/>
      <c r="M7" s="79"/>
      <c r="N7" s="79"/>
      <c r="O7" s="79"/>
      <c r="P7" s="80"/>
    </row>
    <row r="8" spans="1:16" ht="15" customHeight="1" x14ac:dyDescent="0.25">
      <c r="A8" s="3"/>
      <c r="B8" s="3"/>
      <c r="C8" s="3"/>
      <c r="D8" s="3"/>
      <c r="E8" s="3"/>
      <c r="F8" s="3"/>
      <c r="G8" s="3"/>
      <c r="H8" s="3"/>
      <c r="I8" s="3"/>
      <c r="J8" s="3"/>
      <c r="K8" s="3"/>
      <c r="L8" s="3"/>
      <c r="M8" s="3"/>
      <c r="N8" s="3"/>
      <c r="O8" s="3"/>
    </row>
    <row r="9" spans="1:16" ht="15" customHeight="1" x14ac:dyDescent="0.25">
      <c r="A9" s="67" t="s">
        <v>9</v>
      </c>
      <c r="B9" s="67"/>
      <c r="C9" s="67"/>
      <c r="D9" s="67"/>
      <c r="E9" s="67"/>
      <c r="F9" s="67"/>
      <c r="G9" s="67"/>
      <c r="H9" s="67"/>
      <c r="I9" s="67"/>
      <c r="J9" s="67"/>
      <c r="K9" s="67"/>
      <c r="L9" s="67"/>
      <c r="M9" s="67"/>
      <c r="N9" s="67"/>
      <c r="O9" s="67"/>
      <c r="P9" s="67"/>
    </row>
    <row r="10" spans="1:16" s="5" customFormat="1" ht="32.25" customHeight="1" x14ac:dyDescent="0.25">
      <c r="A10" s="70" t="s">
        <v>8</v>
      </c>
      <c r="B10" s="70"/>
      <c r="C10" s="70"/>
      <c r="D10" s="70"/>
      <c r="E10" s="70"/>
      <c r="F10" s="70"/>
      <c r="G10" s="12"/>
      <c r="H10" s="6" t="s">
        <v>2</v>
      </c>
      <c r="I10" s="6">
        <v>1</v>
      </c>
      <c r="J10" s="6">
        <v>2</v>
      </c>
      <c r="K10" s="6">
        <v>3</v>
      </c>
      <c r="L10" s="6">
        <v>4</v>
      </c>
      <c r="M10" s="6">
        <v>5</v>
      </c>
      <c r="N10" s="6">
        <v>6</v>
      </c>
      <c r="O10" s="6">
        <v>7</v>
      </c>
      <c r="P10" s="6" t="s">
        <v>3</v>
      </c>
    </row>
    <row r="11" spans="1:16" ht="15.75" x14ac:dyDescent="0.25">
      <c r="A11" s="63"/>
      <c r="B11" s="63"/>
      <c r="C11" s="63"/>
      <c r="D11" s="63"/>
      <c r="E11" s="63"/>
      <c r="F11" s="55" t="s">
        <v>4</v>
      </c>
      <c r="G11" s="56"/>
      <c r="H11" s="74">
        <v>5</v>
      </c>
      <c r="I11" s="74"/>
      <c r="J11" s="74"/>
      <c r="K11" s="74"/>
      <c r="L11" s="74"/>
      <c r="M11" s="74"/>
      <c r="N11" s="74"/>
      <c r="O11" s="74"/>
      <c r="P11" s="74"/>
    </row>
    <row r="12" spans="1:16" x14ac:dyDescent="0.25">
      <c r="A12" s="3"/>
      <c r="B12" s="3"/>
      <c r="C12" s="3"/>
      <c r="D12" s="3"/>
      <c r="E12" s="3"/>
      <c r="F12" s="3"/>
      <c r="G12" s="3"/>
      <c r="H12" s="3"/>
      <c r="I12" s="3"/>
      <c r="J12" s="3"/>
      <c r="K12" s="3"/>
      <c r="L12" s="3"/>
      <c r="M12" s="3"/>
      <c r="N12" s="3"/>
      <c r="O12" s="3"/>
      <c r="P12" s="3"/>
    </row>
    <row r="13" spans="1:16" ht="15.75" x14ac:dyDescent="0.25">
      <c r="A13" s="67" t="s">
        <v>10</v>
      </c>
      <c r="B13" s="67"/>
      <c r="C13" s="67"/>
      <c r="D13" s="67"/>
      <c r="E13" s="67"/>
      <c r="F13" s="67"/>
      <c r="G13" s="67"/>
      <c r="H13" s="67"/>
      <c r="I13" s="67"/>
      <c r="J13" s="67"/>
      <c r="K13" s="67"/>
      <c r="L13" s="67"/>
      <c r="M13" s="67"/>
      <c r="N13" s="67"/>
      <c r="O13" s="67"/>
      <c r="P13" s="67"/>
    </row>
    <row r="14" spans="1:16" ht="25.5" customHeight="1" x14ac:dyDescent="0.25">
      <c r="A14" s="69" t="s">
        <v>13</v>
      </c>
      <c r="B14" s="69"/>
      <c r="C14" s="69"/>
      <c r="D14" s="69"/>
      <c r="E14" s="69"/>
      <c r="F14" s="69"/>
      <c r="G14" s="69"/>
      <c r="H14" s="69"/>
      <c r="I14" s="69"/>
      <c r="J14" s="69"/>
      <c r="K14" s="69"/>
      <c r="L14" s="69"/>
      <c r="M14" s="69"/>
      <c r="N14" s="69"/>
      <c r="O14" s="69"/>
      <c r="P14" s="69"/>
    </row>
    <row r="15" spans="1:16" ht="30" customHeight="1" x14ac:dyDescent="0.25">
      <c r="A15" s="68" t="s">
        <v>64</v>
      </c>
      <c r="B15" s="68"/>
      <c r="C15" s="68"/>
      <c r="D15" s="68"/>
      <c r="E15" s="68"/>
      <c r="F15" s="68"/>
      <c r="G15" s="13"/>
      <c r="H15" s="15" t="s">
        <v>5</v>
      </c>
      <c r="I15" s="14">
        <v>1</v>
      </c>
      <c r="J15" s="14">
        <v>2</v>
      </c>
      <c r="K15" s="14">
        <v>3</v>
      </c>
      <c r="L15" s="14">
        <v>4</v>
      </c>
      <c r="M15" s="14">
        <v>5</v>
      </c>
      <c r="N15" s="14">
        <v>6</v>
      </c>
      <c r="O15" s="14">
        <v>7</v>
      </c>
      <c r="P15" s="15" t="s">
        <v>6</v>
      </c>
    </row>
    <row r="16" spans="1:16" ht="15" customHeight="1" x14ac:dyDescent="0.25">
      <c r="A16" s="63"/>
      <c r="B16" s="63"/>
      <c r="C16" s="63"/>
      <c r="D16" s="63"/>
      <c r="E16" s="63"/>
      <c r="F16" s="55" t="s">
        <v>4</v>
      </c>
      <c r="G16" s="56"/>
      <c r="H16" s="74">
        <v>0</v>
      </c>
      <c r="I16" s="74"/>
      <c r="J16" s="74"/>
      <c r="K16" s="74"/>
      <c r="L16" s="74"/>
      <c r="M16" s="74"/>
      <c r="N16" s="74"/>
      <c r="O16" s="74"/>
      <c r="P16" s="74"/>
    </row>
    <row r="17" spans="1:16" ht="15" customHeight="1" x14ac:dyDescent="0.25">
      <c r="A17" s="3"/>
      <c r="B17" s="3"/>
      <c r="C17" s="3"/>
      <c r="D17" s="3"/>
      <c r="E17" s="3"/>
      <c r="F17" s="3"/>
      <c r="G17" s="3"/>
      <c r="H17" s="3"/>
      <c r="I17" s="3"/>
      <c r="J17" s="3"/>
      <c r="K17" s="3"/>
      <c r="L17" s="3"/>
      <c r="M17" s="3"/>
      <c r="N17" s="3"/>
      <c r="O17" s="3"/>
    </row>
    <row r="18" spans="1:16" ht="33" customHeight="1" x14ac:dyDescent="0.25">
      <c r="A18" s="68" t="s">
        <v>11</v>
      </c>
      <c r="B18" s="68"/>
      <c r="C18" s="68"/>
      <c r="D18" s="68"/>
      <c r="E18" s="68"/>
      <c r="F18" s="68"/>
      <c r="G18" s="13"/>
      <c r="H18" s="15" t="s">
        <v>5</v>
      </c>
      <c r="I18" s="14">
        <v>1</v>
      </c>
      <c r="J18" s="14">
        <v>2</v>
      </c>
      <c r="K18" s="14">
        <v>3</v>
      </c>
      <c r="L18" s="14">
        <v>4</v>
      </c>
      <c r="M18" s="14">
        <v>5</v>
      </c>
      <c r="N18" s="14">
        <v>6</v>
      </c>
      <c r="O18" s="14">
        <v>7</v>
      </c>
      <c r="P18" s="15" t="s">
        <v>6</v>
      </c>
    </row>
    <row r="19" spans="1:16" ht="15.75" x14ac:dyDescent="0.25">
      <c r="A19" s="63"/>
      <c r="B19" s="63"/>
      <c r="C19" s="63"/>
      <c r="D19" s="63"/>
      <c r="E19" s="63"/>
      <c r="F19" s="55" t="s">
        <v>4</v>
      </c>
      <c r="G19" s="56"/>
      <c r="H19" s="74">
        <v>0</v>
      </c>
      <c r="I19" s="74"/>
      <c r="J19" s="74"/>
      <c r="K19" s="74"/>
      <c r="L19" s="74"/>
      <c r="M19" s="74"/>
      <c r="N19" s="74"/>
      <c r="O19" s="74"/>
      <c r="P19" s="74"/>
    </row>
    <row r="20" spans="1:16" x14ac:dyDescent="0.25">
      <c r="A20" s="3"/>
      <c r="B20" s="3"/>
      <c r="C20" s="3"/>
      <c r="D20" s="3"/>
      <c r="E20" s="3"/>
      <c r="F20" s="3"/>
      <c r="G20" s="3"/>
      <c r="H20" s="3"/>
      <c r="I20" s="3"/>
      <c r="J20" s="3"/>
      <c r="K20" s="3"/>
      <c r="L20" s="3"/>
      <c r="M20" s="3"/>
      <c r="N20" s="3"/>
      <c r="O20" s="3"/>
      <c r="P20" s="3"/>
    </row>
    <row r="21" spans="1:16" ht="31.5" customHeight="1" x14ac:dyDescent="0.25">
      <c r="A21" s="68" t="s">
        <v>12</v>
      </c>
      <c r="B21" s="68"/>
      <c r="C21" s="68"/>
      <c r="D21" s="68"/>
      <c r="E21" s="68"/>
      <c r="F21" s="68"/>
      <c r="G21" s="13"/>
      <c r="H21" s="15" t="s">
        <v>5</v>
      </c>
      <c r="I21" s="14">
        <v>1</v>
      </c>
      <c r="J21" s="14">
        <v>2</v>
      </c>
      <c r="K21" s="14">
        <v>3</v>
      </c>
      <c r="L21" s="14">
        <v>4</v>
      </c>
      <c r="M21" s="14">
        <v>5</v>
      </c>
      <c r="N21" s="14">
        <v>6</v>
      </c>
      <c r="O21" s="14">
        <v>7</v>
      </c>
      <c r="P21" s="15" t="s">
        <v>6</v>
      </c>
    </row>
    <row r="22" spans="1:16" ht="15.75" x14ac:dyDescent="0.25">
      <c r="A22" s="63"/>
      <c r="B22" s="63"/>
      <c r="C22" s="63"/>
      <c r="D22" s="63"/>
      <c r="E22" s="63"/>
      <c r="F22" s="55" t="s">
        <v>4</v>
      </c>
      <c r="G22" s="56"/>
      <c r="H22" s="74">
        <v>0</v>
      </c>
      <c r="I22" s="74"/>
      <c r="J22" s="74"/>
      <c r="K22" s="74"/>
      <c r="L22" s="74"/>
      <c r="M22" s="74"/>
      <c r="N22" s="74"/>
      <c r="O22" s="74"/>
      <c r="P22" s="74"/>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8" spans="1:16" ht="15" customHeight="1" x14ac:dyDescent="0.25">
      <c r="A28" s="3"/>
      <c r="B28" s="3"/>
      <c r="C28" s="3"/>
      <c r="D28" s="3"/>
      <c r="E28" s="3"/>
      <c r="F28" s="3"/>
      <c r="G28" s="3"/>
      <c r="H28" s="3"/>
      <c r="I28" s="3"/>
      <c r="J28" s="3"/>
      <c r="K28" s="3"/>
      <c r="L28" s="3"/>
      <c r="M28" s="3"/>
      <c r="N28" s="3"/>
      <c r="O28" s="3"/>
      <c r="P28" s="3"/>
    </row>
    <row r="29" spans="1:16" ht="15" customHeight="1" x14ac:dyDescent="0.25">
      <c r="A29" s="3"/>
      <c r="B29" s="3"/>
      <c r="C29" s="3"/>
      <c r="D29" s="3"/>
      <c r="E29" s="3"/>
      <c r="F29" s="3"/>
      <c r="G29" s="3"/>
      <c r="H29" s="3"/>
      <c r="I29" s="3"/>
      <c r="J29" s="3"/>
      <c r="K29" s="3"/>
      <c r="L29" s="3"/>
      <c r="M29" s="3"/>
      <c r="N29" s="3"/>
      <c r="O29" s="3"/>
      <c r="P29" s="3"/>
    </row>
    <row r="30" spans="1:16" ht="21.75" customHeight="1" x14ac:dyDescent="0.25">
      <c r="A30" s="3"/>
      <c r="B30" s="3"/>
      <c r="C30" s="3"/>
      <c r="D30" s="3"/>
      <c r="E30" s="3"/>
      <c r="F30" s="3"/>
      <c r="G30" s="3"/>
      <c r="H30" s="3"/>
      <c r="I30" s="3"/>
      <c r="J30" s="3"/>
      <c r="K30" s="3"/>
      <c r="L30" s="3"/>
      <c r="M30" s="3"/>
      <c r="N30" s="3"/>
      <c r="O30" s="3"/>
      <c r="P30" s="3"/>
    </row>
    <row r="31" spans="1:16" ht="25.5" customHeight="1" x14ac:dyDescent="0.25"/>
    <row r="32" spans="1:16" ht="38.25" customHeight="1" x14ac:dyDescent="0.25">
      <c r="A32" s="3"/>
      <c r="B32" s="3"/>
      <c r="C32" s="3"/>
      <c r="D32" s="3"/>
      <c r="E32" s="3"/>
      <c r="F32" s="3"/>
    </row>
    <row r="33" spans="1:16" ht="35.25" customHeight="1" x14ac:dyDescent="0.25">
      <c r="F33" s="3"/>
      <c r="G33" s="3"/>
      <c r="H33" s="3"/>
      <c r="I33" s="3"/>
      <c r="J33" s="3"/>
      <c r="K33" s="3"/>
      <c r="L33" s="3"/>
      <c r="M33" s="3"/>
      <c r="N33" s="3"/>
      <c r="O33" s="3"/>
      <c r="P33" s="3"/>
    </row>
    <row r="34" spans="1:16" ht="15" customHeight="1"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row>
    <row r="47" spans="1:16" x14ac:dyDescent="0.25">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5" spans="1:16" x14ac:dyDescent="0.25">
      <c r="A55" s="3"/>
      <c r="B55" s="3"/>
      <c r="C55" s="3"/>
      <c r="D55" s="3"/>
      <c r="E55" s="3"/>
      <c r="F55" s="3"/>
    </row>
    <row r="56" spans="1:16" x14ac:dyDescent="0.25">
      <c r="F56" s="3"/>
      <c r="G56" s="3"/>
      <c r="H56" s="3"/>
      <c r="I56" s="3"/>
      <c r="J56" s="3"/>
      <c r="K56" s="3"/>
      <c r="L56" s="3"/>
      <c r="M56" s="3"/>
      <c r="N56" s="3"/>
      <c r="O56" s="3"/>
      <c r="P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row>
    <row r="62" spans="1:16" x14ac:dyDescent="0.25">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row>
    <row r="67" spans="1:16" x14ac:dyDescent="0.25">
      <c r="A67" s="3"/>
      <c r="B67" s="3"/>
      <c r="C67" s="3"/>
      <c r="D67" s="3"/>
      <c r="E67" s="3"/>
      <c r="F67" s="3"/>
    </row>
    <row r="68" spans="1:16" x14ac:dyDescent="0.25">
      <c r="F68" s="3"/>
      <c r="G68" s="3"/>
      <c r="H68" s="3"/>
      <c r="I68" s="3"/>
      <c r="J68" s="3"/>
      <c r="K68" s="3"/>
      <c r="L68" s="3"/>
      <c r="M68" s="3"/>
      <c r="N68" s="3"/>
      <c r="O68" s="3"/>
      <c r="P68" s="3"/>
    </row>
    <row r="70" spans="1:16" ht="48.75" customHeight="1" x14ac:dyDescent="0.25"/>
    <row r="71" spans="1:16" ht="15" customHeight="1" x14ac:dyDescent="0.25">
      <c r="A71" s="3"/>
      <c r="B71" s="3"/>
      <c r="C71" s="3"/>
      <c r="D71" s="3"/>
      <c r="E71" s="3"/>
      <c r="F71" s="3"/>
    </row>
    <row r="72" spans="1:16" ht="15" customHeight="1" x14ac:dyDescent="0.25">
      <c r="F72" s="3"/>
      <c r="G72" s="3"/>
      <c r="H72" s="3"/>
      <c r="I72" s="3"/>
      <c r="J72" s="3"/>
      <c r="K72" s="3"/>
      <c r="L72" s="3"/>
      <c r="M72" s="3"/>
      <c r="N72" s="3"/>
      <c r="O72" s="3"/>
      <c r="P72" s="3"/>
    </row>
    <row r="73" spans="1:16" ht="15" customHeight="1" x14ac:dyDescent="0.25"/>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sheetData>
  <mergeCells count="52">
    <mergeCell ref="A138:O138"/>
    <mergeCell ref="A132:O132"/>
    <mergeCell ref="A133:O133"/>
    <mergeCell ref="A134:O134"/>
    <mergeCell ref="A135:O135"/>
    <mergeCell ref="A136:O136"/>
    <mergeCell ref="A137:O137"/>
    <mergeCell ref="A131:O131"/>
    <mergeCell ref="A120:O120"/>
    <mergeCell ref="A121:O121"/>
    <mergeCell ref="A122:O122"/>
    <mergeCell ref="A123:O123"/>
    <mergeCell ref="A124:O124"/>
    <mergeCell ref="A125:O125"/>
    <mergeCell ref="A126:O126"/>
    <mergeCell ref="A127:O127"/>
    <mergeCell ref="A128:O128"/>
    <mergeCell ref="A129:O129"/>
    <mergeCell ref="A130:O130"/>
    <mergeCell ref="A119:O119"/>
    <mergeCell ref="A21:F21"/>
    <mergeCell ref="A22:E22"/>
    <mergeCell ref="F22:G22"/>
    <mergeCell ref="H22:P22"/>
    <mergeCell ref="A112:O112"/>
    <mergeCell ref="A113:O113"/>
    <mergeCell ref="A114:O114"/>
    <mergeCell ref="A115:O115"/>
    <mergeCell ref="A116:O116"/>
    <mergeCell ref="A117:O117"/>
    <mergeCell ref="A118:O118"/>
    <mergeCell ref="A19:E19"/>
    <mergeCell ref="F19:G19"/>
    <mergeCell ref="H19:P19"/>
    <mergeCell ref="A10:F10"/>
    <mergeCell ref="A11:E11"/>
    <mergeCell ref="F11:G11"/>
    <mergeCell ref="H11:P11"/>
    <mergeCell ref="A13:P13"/>
    <mergeCell ref="A14:P14"/>
    <mergeCell ref="A15:F15"/>
    <mergeCell ref="A16:E16"/>
    <mergeCell ref="F16:G16"/>
    <mergeCell ref="H16:P16"/>
    <mergeCell ref="A18:F18"/>
    <mergeCell ref="A1:B1"/>
    <mergeCell ref="N1:O1"/>
    <mergeCell ref="A9:P9"/>
    <mergeCell ref="A6:F6"/>
    <mergeCell ref="F7:G7"/>
    <mergeCell ref="H7:P7"/>
    <mergeCell ref="A2:P4"/>
  </mergeCells>
  <conditionalFormatting sqref="A9:P10 A11 F11:P11">
    <cfRule type="expression" dxfId="428" priority="61">
      <formula>AND($H11&gt;=1,$H11&lt;=7)</formula>
    </cfRule>
  </conditionalFormatting>
  <conditionalFormatting sqref="A10:F10">
    <cfRule type="expression" dxfId="427" priority="60">
      <formula>AND(H11&gt;=1,H11&lt;=7)</formula>
    </cfRule>
  </conditionalFormatting>
  <conditionalFormatting sqref="G10">
    <cfRule type="expression" dxfId="426" priority="59">
      <formula>AND(H11&gt;=1,H11&lt;=7)</formula>
    </cfRule>
  </conditionalFormatting>
  <conditionalFormatting sqref="H10">
    <cfRule type="expression" dxfId="425" priority="58">
      <formula>AND(H11&gt;=1,H11&lt;=7)</formula>
    </cfRule>
  </conditionalFormatting>
  <conditionalFormatting sqref="I10">
    <cfRule type="expression" dxfId="424" priority="57">
      <formula>AND(H11&gt;=1,H11&lt;=7)</formula>
    </cfRule>
  </conditionalFormatting>
  <conditionalFormatting sqref="J10">
    <cfRule type="expression" dxfId="423" priority="56">
      <formula>AND(H11&gt;=1,H11&lt;=7)</formula>
    </cfRule>
  </conditionalFormatting>
  <conditionalFormatting sqref="K10">
    <cfRule type="expression" dxfId="422" priority="55">
      <formula>AND(H11&gt;=1,H11&lt;=7)</formula>
    </cfRule>
  </conditionalFormatting>
  <conditionalFormatting sqref="L10">
    <cfRule type="expression" dxfId="421" priority="54">
      <formula>AND(H11&gt;=1,H11&lt;=7)</formula>
    </cfRule>
  </conditionalFormatting>
  <conditionalFormatting sqref="M10">
    <cfRule type="expression" dxfId="420" priority="53">
      <formula>AND(H11&gt;=1,H11&lt;=7)</formula>
    </cfRule>
  </conditionalFormatting>
  <conditionalFormatting sqref="N10">
    <cfRule type="expression" dxfId="419" priority="52">
      <formula>AND(H11&gt;=1,H11&lt;=7)</formula>
    </cfRule>
  </conditionalFormatting>
  <conditionalFormatting sqref="O10">
    <cfRule type="expression" dxfId="418" priority="51">
      <formula>AND(H11&gt;=1,H11&lt;=7)</formula>
    </cfRule>
  </conditionalFormatting>
  <conditionalFormatting sqref="P10">
    <cfRule type="expression" dxfId="417" priority="50">
      <formula>AND(H11&gt;=1,H11&lt;=7)</formula>
    </cfRule>
  </conditionalFormatting>
  <conditionalFormatting sqref="A11:E11">
    <cfRule type="expression" dxfId="416" priority="49">
      <formula>AND(H11&gt;=1,H11&lt;=7)</formula>
    </cfRule>
  </conditionalFormatting>
  <conditionalFormatting sqref="H11:P11">
    <cfRule type="expression" dxfId="415" priority="48">
      <formula>AND(H11&gt;=1,H11&lt;=7)</formula>
    </cfRule>
  </conditionalFormatting>
  <conditionalFormatting sqref="A13:P13">
    <cfRule type="expression" dxfId="414" priority="47">
      <formula>AND($H15&gt;=1,$H15&lt;=7)</formula>
    </cfRule>
  </conditionalFormatting>
  <conditionalFormatting sqref="G15:P15 A16 F16:P16">
    <cfRule type="expression" dxfId="413" priority="46">
      <formula>AND($H17&gt;=1,$H17&lt;=7)</formula>
    </cfRule>
  </conditionalFormatting>
  <conditionalFormatting sqref="G15">
    <cfRule type="expression" dxfId="412" priority="44">
      <formula>AND(H16&gt;=1,H16&lt;=7)</formula>
    </cfRule>
  </conditionalFormatting>
  <conditionalFormatting sqref="H15">
    <cfRule type="expression" dxfId="411" priority="43">
      <formula>AND(H16&gt;=1,H16&lt;=7)</formula>
    </cfRule>
  </conditionalFormatting>
  <conditionalFormatting sqref="I15">
    <cfRule type="expression" dxfId="410" priority="42">
      <formula>AND(H16&gt;=1,H16&lt;=7)</formula>
    </cfRule>
  </conditionalFormatting>
  <conditionalFormatting sqref="J15">
    <cfRule type="expression" dxfId="409" priority="41">
      <formula>AND(H16&gt;=1,H16&lt;=7)</formula>
    </cfRule>
  </conditionalFormatting>
  <conditionalFormatting sqref="K15">
    <cfRule type="expression" dxfId="408" priority="40">
      <formula>AND(H16&gt;=1,H16&lt;=7)</formula>
    </cfRule>
  </conditionalFormatting>
  <conditionalFormatting sqref="L15">
    <cfRule type="expression" dxfId="407" priority="39">
      <formula>AND(H16&gt;=1,H16&lt;=7)</formula>
    </cfRule>
  </conditionalFormatting>
  <conditionalFormatting sqref="M15">
    <cfRule type="expression" dxfId="406" priority="38">
      <formula>AND(H16&gt;=1,H16&lt;=7)</formula>
    </cfRule>
  </conditionalFormatting>
  <conditionalFormatting sqref="N15">
    <cfRule type="expression" dxfId="405" priority="37">
      <formula>AND(H16&gt;=1,H16&lt;=7)</formula>
    </cfRule>
  </conditionalFormatting>
  <conditionalFormatting sqref="O15">
    <cfRule type="expression" dxfId="404" priority="36">
      <formula>AND(H16&gt;=1,H16&lt;=7)</formula>
    </cfRule>
  </conditionalFormatting>
  <conditionalFormatting sqref="P15">
    <cfRule type="expression" dxfId="403" priority="35">
      <formula>AND(H16&gt;=1,H16&lt;=7)</formula>
    </cfRule>
  </conditionalFormatting>
  <conditionalFormatting sqref="A16:E16">
    <cfRule type="expression" dxfId="402" priority="34">
      <formula>AND(H16&gt;=1,H16&lt;=7)</formula>
    </cfRule>
  </conditionalFormatting>
  <conditionalFormatting sqref="H16:P16">
    <cfRule type="expression" dxfId="401" priority="33">
      <formula>AND(H16&gt;=1,H16&lt;=7)</formula>
    </cfRule>
  </conditionalFormatting>
  <conditionalFormatting sqref="A18:G18 A19 F19:P19">
    <cfRule type="expression" dxfId="400" priority="32">
      <formula>AND($H20&gt;=1,$H20&lt;=7)</formula>
    </cfRule>
  </conditionalFormatting>
  <conditionalFormatting sqref="A18:F18">
    <cfRule type="expression" dxfId="399" priority="31">
      <formula>AND(H19&gt;=1,H19&lt;=7)</formula>
    </cfRule>
  </conditionalFormatting>
  <conditionalFormatting sqref="G18">
    <cfRule type="expression" dxfId="398" priority="30">
      <formula>AND(H19&gt;=1,H19&lt;=7)</formula>
    </cfRule>
  </conditionalFormatting>
  <conditionalFormatting sqref="A19:E19">
    <cfRule type="expression" dxfId="397" priority="29">
      <formula>AND(H19&gt;=1,H19&lt;=7)</formula>
    </cfRule>
  </conditionalFormatting>
  <conditionalFormatting sqref="H19:P19">
    <cfRule type="expression" dxfId="396" priority="28">
      <formula>AND(H19&gt;=1,H19&lt;=7)</formula>
    </cfRule>
  </conditionalFormatting>
  <conditionalFormatting sqref="A21:G21 A22 F22:P22">
    <cfRule type="expression" dxfId="395" priority="27">
      <formula>AND($H23&gt;=1,$H23&lt;=7)</formula>
    </cfRule>
  </conditionalFormatting>
  <conditionalFormatting sqref="A21:F21">
    <cfRule type="expression" dxfId="394" priority="26">
      <formula>AND(H22&gt;=1,H22&lt;=7)</formula>
    </cfRule>
  </conditionalFormatting>
  <conditionalFormatting sqref="G21">
    <cfRule type="expression" dxfId="393" priority="25">
      <formula>AND(H22&gt;=1,H22&lt;=7)</formula>
    </cfRule>
  </conditionalFormatting>
  <conditionalFormatting sqref="A22:E22">
    <cfRule type="expression" dxfId="392" priority="24">
      <formula>AND(H22&gt;=1,H22&lt;=7)</formula>
    </cfRule>
  </conditionalFormatting>
  <conditionalFormatting sqref="H22:P22">
    <cfRule type="expression" dxfId="391" priority="23">
      <formula>AND(H22&gt;=1,H22&lt;=7)</formula>
    </cfRule>
  </conditionalFormatting>
  <conditionalFormatting sqref="H18:P18">
    <cfRule type="expression" dxfId="390" priority="22">
      <formula>AND($H20&gt;=1,$H20&lt;=7)</formula>
    </cfRule>
  </conditionalFormatting>
  <conditionalFormatting sqref="H18">
    <cfRule type="expression" dxfId="389" priority="21">
      <formula>AND(H19&gt;=1,H19&lt;=7)</formula>
    </cfRule>
  </conditionalFormatting>
  <conditionalFormatting sqref="I18">
    <cfRule type="expression" dxfId="388" priority="20">
      <formula>AND(H19&gt;=1,H19&lt;=7)</formula>
    </cfRule>
  </conditionalFormatting>
  <conditionalFormatting sqref="J18">
    <cfRule type="expression" dxfId="387" priority="19">
      <formula>AND(H19&gt;=1,H19&lt;=7)</formula>
    </cfRule>
  </conditionalFormatting>
  <conditionalFormatting sqref="K18">
    <cfRule type="expression" dxfId="386" priority="18">
      <formula>AND(H19&gt;=1,H19&lt;=7)</formula>
    </cfRule>
  </conditionalFormatting>
  <conditionalFormatting sqref="L18">
    <cfRule type="expression" dxfId="385" priority="17">
      <formula>AND(H19&gt;=1,H19&lt;=7)</formula>
    </cfRule>
  </conditionalFormatting>
  <conditionalFormatting sqref="M18">
    <cfRule type="expression" dxfId="384" priority="16">
      <formula>AND(H19&gt;=1,H19&lt;=7)</formula>
    </cfRule>
  </conditionalFormatting>
  <conditionalFormatting sqref="N18">
    <cfRule type="expression" dxfId="383" priority="15">
      <formula>AND(H19&gt;=1,H19&lt;=7)</formula>
    </cfRule>
  </conditionalFormatting>
  <conditionalFormatting sqref="O18">
    <cfRule type="expression" dxfId="382" priority="14">
      <formula>AND(H19&gt;=1,H19&lt;=7)</formula>
    </cfRule>
  </conditionalFormatting>
  <conditionalFormatting sqref="P18">
    <cfRule type="expression" dxfId="381" priority="13">
      <formula>AND(H19&gt;=1,H19&lt;=7)</formula>
    </cfRule>
  </conditionalFormatting>
  <conditionalFormatting sqref="H21:P21">
    <cfRule type="expression" dxfId="380" priority="12">
      <formula>AND($H23&gt;=1,$H23&lt;=7)</formula>
    </cfRule>
  </conditionalFormatting>
  <conditionalFormatting sqref="H21">
    <cfRule type="expression" dxfId="379" priority="11">
      <formula>AND(H22&gt;=1,H22&lt;=7)</formula>
    </cfRule>
  </conditionalFormatting>
  <conditionalFormatting sqref="I21">
    <cfRule type="expression" dxfId="378" priority="10">
      <formula>AND(H22&gt;=1,H22&lt;=7)</formula>
    </cfRule>
  </conditionalFormatting>
  <conditionalFormatting sqref="J21">
    <cfRule type="expression" dxfId="377" priority="9">
      <formula>AND(H22&gt;=1,H22&lt;=7)</formula>
    </cfRule>
  </conditionalFormatting>
  <conditionalFormatting sqref="K21">
    <cfRule type="expression" dxfId="376" priority="8">
      <formula>AND(H22&gt;=1,H22&lt;=7)</formula>
    </cfRule>
  </conditionalFormatting>
  <conditionalFormatting sqref="L21">
    <cfRule type="expression" dxfId="375" priority="7">
      <formula>AND(H22&gt;=1,H22&lt;=7)</formula>
    </cfRule>
  </conditionalFormatting>
  <conditionalFormatting sqref="M21">
    <cfRule type="expression" dxfId="374" priority="6">
      <formula>AND(H22&gt;=1,H22&lt;=7)</formula>
    </cfRule>
  </conditionalFormatting>
  <conditionalFormatting sqref="N21">
    <cfRule type="expression" dxfId="373" priority="5">
      <formula>AND(H22&gt;=1,H22&lt;=7)</formula>
    </cfRule>
  </conditionalFormatting>
  <conditionalFormatting sqref="O21">
    <cfRule type="expression" dxfId="372" priority="4">
      <formula>AND(H22&gt;=1,H22&lt;=7)</formula>
    </cfRule>
  </conditionalFormatting>
  <conditionalFormatting sqref="P21">
    <cfRule type="expression" dxfId="371" priority="3">
      <formula>AND(H22&gt;=1,H22&lt;=7)</formula>
    </cfRule>
  </conditionalFormatting>
  <conditionalFormatting sqref="A15:F15">
    <cfRule type="expression" dxfId="370" priority="2">
      <formula>AND($H17&gt;=1,$H17&lt;=7)</formula>
    </cfRule>
  </conditionalFormatting>
  <conditionalFormatting sqref="A15:F15">
    <cfRule type="expression" dxfId="369" priority="1">
      <formula>AND(H16&gt;=1,H16&lt;=7)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chkBoxYesGotErrorMessage_Click">
                <anchor moveWithCells="1">
                  <from>
                    <xdr:col>8</xdr:col>
                    <xdr:colOff>0</xdr:colOff>
                    <xdr:row>12</xdr:row>
                    <xdr:rowOff>19050</xdr:rowOff>
                  </from>
                  <to>
                    <xdr:col>9</xdr:col>
                    <xdr:colOff>9525</xdr:colOff>
                    <xdr:row>13</xdr:row>
                    <xdr:rowOff>38100</xdr:rowOff>
                  </to>
                </anchor>
              </controlPr>
            </control>
          </mc:Choice>
        </mc:AlternateContent>
        <mc:AlternateContent xmlns:mc="http://schemas.openxmlformats.org/markup-compatibility/2006">
          <mc:Choice Requires="x14">
            <control shapeId="6146" r:id="rId5" name="Check Box 2">
              <controlPr defaultSize="0" autoFill="0" autoLine="0" autoPict="0" macro="[0]!chkBoxNoErrorMessage">
                <anchor moveWithCells="1">
                  <from>
                    <xdr:col>9</xdr:col>
                    <xdr:colOff>57150</xdr:colOff>
                    <xdr:row>12</xdr:row>
                    <xdr:rowOff>19050</xdr:rowOff>
                  </from>
                  <to>
                    <xdr:col>9</xdr:col>
                    <xdr:colOff>590550</xdr:colOff>
                    <xdr:row>13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137"/>
  <sheetViews>
    <sheetView showGridLines="0" workbookViewId="0">
      <selection activeCell="H11" sqref="H11"/>
    </sheetView>
  </sheetViews>
  <sheetFormatPr defaultRowHeight="15" x14ac:dyDescent="0.25"/>
  <cols>
    <col min="16" max="16" width="12.7109375" bestFit="1" customWidth="1"/>
  </cols>
  <sheetData>
    <row r="1" spans="1:16" x14ac:dyDescent="0.25">
      <c r="A1" s="75" t="s">
        <v>42</v>
      </c>
      <c r="B1" s="75"/>
      <c r="C1" s="37">
        <f>Timings!$B$3</f>
        <v>2.7430555555555559E-3</v>
      </c>
      <c r="D1" s="36"/>
      <c r="E1" s="35"/>
      <c r="F1" s="35"/>
      <c r="G1" s="35"/>
      <c r="H1" s="35"/>
      <c r="I1" s="35"/>
      <c r="J1" s="35"/>
      <c r="K1" s="35"/>
      <c r="L1" s="35"/>
      <c r="M1" s="35"/>
      <c r="N1" s="75" t="s">
        <v>43</v>
      </c>
      <c r="O1" s="75"/>
      <c r="P1" s="37">
        <f ca="1">IF(Welcome!$B$4&lt;&gt;"",IF(Welcome!$B$5="",NOW()-Welcome!$B$4,Welcome!$B$6),"")</f>
        <v>1.9004629633855075E-2</v>
      </c>
    </row>
    <row r="2" spans="1:16" ht="15" customHeight="1" x14ac:dyDescent="0.25">
      <c r="A2" s="52" t="str">
        <f>ExpectationRating!A19</f>
        <v>Task3: Find class Gate and rename the position attribute to pos. Fix the inconsistencies, if any, that this task may introduce to the model.</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28"/>
      <c r="B4" s="29"/>
      <c r="C4" s="28"/>
      <c r="D4" s="28"/>
      <c r="E4" s="28"/>
      <c r="F4" s="28"/>
      <c r="G4" s="28"/>
      <c r="H4" s="28"/>
      <c r="I4" s="28"/>
      <c r="J4" s="28"/>
      <c r="K4" s="28"/>
      <c r="L4" s="28"/>
      <c r="M4" s="28"/>
      <c r="N4" s="28"/>
      <c r="O4" s="28"/>
      <c r="P4" s="28"/>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ExpectationRating!I22</f>
        <v>2</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7</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0</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0</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0</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2:P3"/>
    <mergeCell ref="A1:B1"/>
    <mergeCell ref="N1:O1"/>
    <mergeCell ref="A8:P8"/>
    <mergeCell ref="A5:F5"/>
    <mergeCell ref="F6:G6"/>
    <mergeCell ref="H6:P6"/>
  </mergeCells>
  <conditionalFormatting sqref="A8:P9 A10 F10:P10">
    <cfRule type="expression" dxfId="368" priority="61">
      <formula>AND($H10&gt;=1,$H10&lt;=7)</formula>
    </cfRule>
  </conditionalFormatting>
  <conditionalFormatting sqref="A9:F9">
    <cfRule type="expression" dxfId="367" priority="60">
      <formula>AND(H10&gt;=1,H10&lt;=7)</formula>
    </cfRule>
  </conditionalFormatting>
  <conditionalFormatting sqref="G9">
    <cfRule type="expression" dxfId="366" priority="59">
      <formula>AND(H10&gt;=1,H10&lt;=7)</formula>
    </cfRule>
  </conditionalFormatting>
  <conditionalFormatting sqref="H9">
    <cfRule type="expression" dxfId="365" priority="58">
      <formula>AND(H10&gt;=1,H10&lt;=7)</formula>
    </cfRule>
  </conditionalFormatting>
  <conditionalFormatting sqref="I9">
    <cfRule type="expression" dxfId="364" priority="57">
      <formula>AND(H10&gt;=1,H10&lt;=7)</formula>
    </cfRule>
  </conditionalFormatting>
  <conditionalFormatting sqref="J9">
    <cfRule type="expression" dxfId="363" priority="56">
      <formula>AND(H10&gt;=1,H10&lt;=7)</formula>
    </cfRule>
  </conditionalFormatting>
  <conditionalFormatting sqref="K9">
    <cfRule type="expression" dxfId="362" priority="55">
      <formula>AND(H10&gt;=1,H10&lt;=7)</formula>
    </cfRule>
  </conditionalFormatting>
  <conditionalFormatting sqref="L9">
    <cfRule type="expression" dxfId="361" priority="54">
      <formula>AND(H10&gt;=1,H10&lt;=7)</formula>
    </cfRule>
  </conditionalFormatting>
  <conditionalFormatting sqref="M9">
    <cfRule type="expression" dxfId="360" priority="53">
      <formula>AND(H10&gt;=1,H10&lt;=7)</formula>
    </cfRule>
  </conditionalFormatting>
  <conditionalFormatting sqref="N9">
    <cfRule type="expression" dxfId="359" priority="52">
      <formula>AND(H10&gt;=1,H10&lt;=7)</formula>
    </cfRule>
  </conditionalFormatting>
  <conditionalFormatting sqref="O9">
    <cfRule type="expression" dxfId="358" priority="51">
      <formula>AND(H10&gt;=1,H10&lt;=7)</formula>
    </cfRule>
  </conditionalFormatting>
  <conditionalFormatting sqref="P9">
    <cfRule type="expression" dxfId="357" priority="50">
      <formula>AND(H10&gt;=1,H10&lt;=7)</formula>
    </cfRule>
  </conditionalFormatting>
  <conditionalFormatting sqref="A10:E10">
    <cfRule type="expression" dxfId="356" priority="49">
      <formula>AND(H10&gt;=1,H10&lt;=7)</formula>
    </cfRule>
  </conditionalFormatting>
  <conditionalFormatting sqref="H10:P10">
    <cfRule type="expression" dxfId="355" priority="48">
      <formula>AND(H10&gt;=1,H10&lt;=7)</formula>
    </cfRule>
  </conditionalFormatting>
  <conditionalFormatting sqref="A12:P12">
    <cfRule type="expression" dxfId="354" priority="47">
      <formula>AND($H14&gt;=1,$H14&lt;=7)</formula>
    </cfRule>
  </conditionalFormatting>
  <conditionalFormatting sqref="G14:P14 A15 F15:P15">
    <cfRule type="expression" dxfId="353" priority="46">
      <formula>AND($H16&gt;=1,$H16&lt;=7)</formula>
    </cfRule>
  </conditionalFormatting>
  <conditionalFormatting sqref="G14">
    <cfRule type="expression" dxfId="352" priority="44">
      <formula>AND(H15&gt;=1,H15&lt;=7)</formula>
    </cfRule>
  </conditionalFormatting>
  <conditionalFormatting sqref="H14">
    <cfRule type="expression" dxfId="351" priority="43">
      <formula>AND(H15&gt;=1,H15&lt;=7)</formula>
    </cfRule>
  </conditionalFormatting>
  <conditionalFormatting sqref="I14">
    <cfRule type="expression" dxfId="350" priority="42">
      <formula>AND(H15&gt;=1,H15&lt;=7)</formula>
    </cfRule>
  </conditionalFormatting>
  <conditionalFormatting sqref="J14">
    <cfRule type="expression" dxfId="349" priority="41">
      <formula>AND(H15&gt;=1,H15&lt;=7)</formula>
    </cfRule>
  </conditionalFormatting>
  <conditionalFormatting sqref="K14">
    <cfRule type="expression" dxfId="348" priority="40">
      <formula>AND(H15&gt;=1,H15&lt;=7)</formula>
    </cfRule>
  </conditionalFormatting>
  <conditionalFormatting sqref="L14">
    <cfRule type="expression" dxfId="347" priority="39">
      <formula>AND(H15&gt;=1,H15&lt;=7)</formula>
    </cfRule>
  </conditionalFormatting>
  <conditionalFormatting sqref="M14">
    <cfRule type="expression" dxfId="346" priority="38">
      <formula>AND(H15&gt;=1,H15&lt;=7)</formula>
    </cfRule>
  </conditionalFormatting>
  <conditionalFormatting sqref="N14">
    <cfRule type="expression" dxfId="345" priority="37">
      <formula>AND(H15&gt;=1,H15&lt;=7)</formula>
    </cfRule>
  </conditionalFormatting>
  <conditionalFormatting sqref="O14">
    <cfRule type="expression" dxfId="344" priority="36">
      <formula>AND(H15&gt;=1,H15&lt;=7)</formula>
    </cfRule>
  </conditionalFormatting>
  <conditionalFormatting sqref="P14">
    <cfRule type="expression" dxfId="343" priority="35">
      <formula>AND(H15&gt;=1,H15&lt;=7)</formula>
    </cfRule>
  </conditionalFormatting>
  <conditionalFormatting sqref="A15:E15">
    <cfRule type="expression" dxfId="342" priority="34">
      <formula>AND(H15&gt;=1,H15&lt;=7)</formula>
    </cfRule>
  </conditionalFormatting>
  <conditionalFormatting sqref="H15:P15">
    <cfRule type="expression" dxfId="341" priority="33">
      <formula>AND(H15&gt;=1,H15&lt;=7)</formula>
    </cfRule>
  </conditionalFormatting>
  <conditionalFormatting sqref="A17:G17 A18 F18:P18">
    <cfRule type="expression" dxfId="340" priority="32">
      <formula>AND($H19&gt;=1,$H19&lt;=7)</formula>
    </cfRule>
  </conditionalFormatting>
  <conditionalFormatting sqref="A17:F17">
    <cfRule type="expression" dxfId="339" priority="31">
      <formula>AND(H18&gt;=1,H18&lt;=7)</formula>
    </cfRule>
  </conditionalFormatting>
  <conditionalFormatting sqref="G17">
    <cfRule type="expression" dxfId="338" priority="30">
      <formula>AND(H18&gt;=1,H18&lt;=7)</formula>
    </cfRule>
  </conditionalFormatting>
  <conditionalFormatting sqref="A18:E18">
    <cfRule type="expression" dxfId="337" priority="29">
      <formula>AND(H18&gt;=1,H18&lt;=7)</formula>
    </cfRule>
  </conditionalFormatting>
  <conditionalFormatting sqref="H18:P18">
    <cfRule type="expression" dxfId="336" priority="28">
      <formula>AND(H18&gt;=1,H18&lt;=7)</formula>
    </cfRule>
  </conditionalFormatting>
  <conditionalFormatting sqref="A20:G20 A21 F21:P21">
    <cfRule type="expression" dxfId="335" priority="27">
      <formula>AND($H22&gt;=1,$H22&lt;=7)</formula>
    </cfRule>
  </conditionalFormatting>
  <conditionalFormatting sqref="A20:F20">
    <cfRule type="expression" dxfId="334" priority="26">
      <formula>AND(H21&gt;=1,H21&lt;=7)</formula>
    </cfRule>
  </conditionalFormatting>
  <conditionalFormatting sqref="G20">
    <cfRule type="expression" dxfId="333" priority="25">
      <formula>AND(H21&gt;=1,H21&lt;=7)</formula>
    </cfRule>
  </conditionalFormatting>
  <conditionalFormatting sqref="A21:E21">
    <cfRule type="expression" dxfId="332" priority="24">
      <formula>AND(H21&gt;=1,H21&lt;=7)</formula>
    </cfRule>
  </conditionalFormatting>
  <conditionalFormatting sqref="H21:P21">
    <cfRule type="expression" dxfId="331" priority="23">
      <formula>AND(H21&gt;=1,H21&lt;=7)</formula>
    </cfRule>
  </conditionalFormatting>
  <conditionalFormatting sqref="H17:P17">
    <cfRule type="expression" dxfId="330" priority="22">
      <formula>AND($H19&gt;=1,$H19&lt;=7)</formula>
    </cfRule>
  </conditionalFormatting>
  <conditionalFormatting sqref="H17">
    <cfRule type="expression" dxfId="329" priority="21">
      <formula>AND(H18&gt;=1,H18&lt;=7)</formula>
    </cfRule>
  </conditionalFormatting>
  <conditionalFormatting sqref="I17">
    <cfRule type="expression" dxfId="328" priority="20">
      <formula>AND(H18&gt;=1,H18&lt;=7)</formula>
    </cfRule>
  </conditionalFormatting>
  <conditionalFormatting sqref="J17">
    <cfRule type="expression" dxfId="327" priority="19">
      <formula>AND(H18&gt;=1,H18&lt;=7)</formula>
    </cfRule>
  </conditionalFormatting>
  <conditionalFormatting sqref="K17">
    <cfRule type="expression" dxfId="326" priority="18">
      <formula>AND(H18&gt;=1,H18&lt;=7)</formula>
    </cfRule>
  </conditionalFormatting>
  <conditionalFormatting sqref="L17">
    <cfRule type="expression" dxfId="325" priority="17">
      <formula>AND(H18&gt;=1,H18&lt;=7)</formula>
    </cfRule>
  </conditionalFormatting>
  <conditionalFormatting sqref="M17">
    <cfRule type="expression" dxfId="324" priority="16">
      <formula>AND(H18&gt;=1,H18&lt;=7)</formula>
    </cfRule>
  </conditionalFormatting>
  <conditionalFormatting sqref="N17">
    <cfRule type="expression" dxfId="323" priority="15">
      <formula>AND(H18&gt;=1,H18&lt;=7)</formula>
    </cfRule>
  </conditionalFormatting>
  <conditionalFormatting sqref="O17">
    <cfRule type="expression" dxfId="322" priority="14">
      <formula>AND(H18&gt;=1,H18&lt;=7)</formula>
    </cfRule>
  </conditionalFormatting>
  <conditionalFormatting sqref="P17">
    <cfRule type="expression" dxfId="321" priority="13">
      <formula>AND(H18&gt;=1,H18&lt;=7)</formula>
    </cfRule>
  </conditionalFormatting>
  <conditionalFormatting sqref="H20:P20">
    <cfRule type="expression" dxfId="320" priority="12">
      <formula>AND($H22&gt;=1,$H22&lt;=7)</formula>
    </cfRule>
  </conditionalFormatting>
  <conditionalFormatting sqref="H20">
    <cfRule type="expression" dxfId="319" priority="11">
      <formula>AND(H21&gt;=1,H21&lt;=7)</formula>
    </cfRule>
  </conditionalFormatting>
  <conditionalFormatting sqref="I20">
    <cfRule type="expression" dxfId="318" priority="10">
      <formula>AND(H21&gt;=1,H21&lt;=7)</formula>
    </cfRule>
  </conditionalFormatting>
  <conditionalFormatting sqref="J20">
    <cfRule type="expression" dxfId="317" priority="9">
      <formula>AND(H21&gt;=1,H21&lt;=7)</formula>
    </cfRule>
  </conditionalFormatting>
  <conditionalFormatting sqref="K20">
    <cfRule type="expression" dxfId="316" priority="8">
      <formula>AND(H21&gt;=1,H21&lt;=7)</formula>
    </cfRule>
  </conditionalFormatting>
  <conditionalFormatting sqref="L20">
    <cfRule type="expression" dxfId="315" priority="7">
      <formula>AND(H21&gt;=1,H21&lt;=7)</formula>
    </cfRule>
  </conditionalFormatting>
  <conditionalFormatting sqref="M20">
    <cfRule type="expression" dxfId="314" priority="6">
      <formula>AND(H21&gt;=1,H21&lt;=7)</formula>
    </cfRule>
  </conditionalFormatting>
  <conditionalFormatting sqref="N20">
    <cfRule type="expression" dxfId="313" priority="5">
      <formula>AND(H21&gt;=1,H21&lt;=7)</formula>
    </cfRule>
  </conditionalFormatting>
  <conditionalFormatting sqref="O20">
    <cfRule type="expression" dxfId="312" priority="4">
      <formula>AND(H21&gt;=1,H21&lt;=7)</formula>
    </cfRule>
  </conditionalFormatting>
  <conditionalFormatting sqref="P20">
    <cfRule type="expression" dxfId="311" priority="3">
      <formula>AND(H21&gt;=1,H21&lt;=7)</formula>
    </cfRule>
  </conditionalFormatting>
  <conditionalFormatting sqref="A14:F14">
    <cfRule type="expression" dxfId="310" priority="2">
      <formula>AND($H16&gt;=1,$H16&lt;=7)</formula>
    </cfRule>
  </conditionalFormatting>
  <conditionalFormatting sqref="A14:F14">
    <cfRule type="expression" dxfId="30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8194"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41"/>
  <sheetViews>
    <sheetView showGridLines="0" topLeftCell="A4" workbookViewId="0">
      <selection activeCell="H15" sqref="H15"/>
    </sheetView>
  </sheetViews>
  <sheetFormatPr defaultRowHeight="15" x14ac:dyDescent="0.25"/>
  <cols>
    <col min="16" max="16" width="12.7109375" bestFit="1" customWidth="1"/>
  </cols>
  <sheetData>
    <row r="1" spans="1:16" x14ac:dyDescent="0.25">
      <c r="A1" s="75" t="s">
        <v>42</v>
      </c>
      <c r="B1" s="75"/>
      <c r="C1" s="37">
        <f>Timings!$B$4</f>
        <v>2.1412037037037038E-3</v>
      </c>
      <c r="D1" s="36"/>
      <c r="E1" s="35"/>
      <c r="F1" s="35"/>
      <c r="G1" s="35"/>
      <c r="H1" s="35"/>
      <c r="I1" s="35"/>
      <c r="J1" s="35"/>
      <c r="K1" s="35"/>
      <c r="L1" s="35"/>
      <c r="M1" s="35"/>
      <c r="N1" s="75" t="s">
        <v>43</v>
      </c>
      <c r="O1" s="75"/>
      <c r="P1" s="37">
        <f ca="1">IF(Welcome!$B$4&lt;&gt;"",IF(Welcome!$B$5="",NOW()-Welcome!$B$4,Welcome!$B$6),"")</f>
        <v>1.9004629633855075E-2</v>
      </c>
    </row>
    <row r="2" spans="1:16" ht="15" customHeight="1" x14ac:dyDescent="0.25">
      <c r="A2" s="52" t="str">
        <f>ExpectationRating!A25</f>
        <v>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25.5" customHeight="1" x14ac:dyDescent="0.25">
      <c r="A5" s="28"/>
      <c r="B5" s="29" t="s">
        <v>39</v>
      </c>
      <c r="C5" s="60" t="str">
        <f>ExpectationRating!C28</f>
        <v>If enteringParkingLot is used in the event, change the event to goingThroughTheGate.</v>
      </c>
      <c r="D5" s="60"/>
      <c r="E5" s="60"/>
      <c r="F5" s="60"/>
      <c r="G5" s="60"/>
      <c r="H5" s="60"/>
      <c r="I5" s="60"/>
      <c r="J5" s="60"/>
      <c r="K5" s="60"/>
      <c r="L5" s="60"/>
      <c r="M5" s="60"/>
      <c r="N5" s="60"/>
      <c r="O5" s="60"/>
      <c r="P5" s="60"/>
    </row>
    <row r="6" spans="1:16" ht="36.75" customHeight="1" x14ac:dyDescent="0.25">
      <c r="A6" s="28"/>
      <c r="B6" s="29" t="s">
        <v>40</v>
      </c>
      <c r="C6" s="60" t="str">
        <f>ExpectationRating!C29</f>
        <v>If enteringParkingLot is used in the guard, delete the guard. Consequently, if the containing transition will have no event, guard, or action after deleting the guard, then delete the whole transition.</v>
      </c>
      <c r="D6" s="60"/>
      <c r="E6" s="60"/>
      <c r="F6" s="60"/>
      <c r="G6" s="60"/>
      <c r="H6" s="60"/>
      <c r="I6" s="60"/>
      <c r="J6" s="60"/>
      <c r="K6" s="60"/>
      <c r="L6" s="60"/>
      <c r="M6" s="60"/>
      <c r="N6" s="60"/>
      <c r="O6" s="60"/>
      <c r="P6" s="60"/>
    </row>
    <row r="7" spans="1:16" ht="33.75" customHeight="1" x14ac:dyDescent="0.25">
      <c r="A7" s="28"/>
      <c r="B7" s="29" t="s">
        <v>41</v>
      </c>
      <c r="C7" s="60" t="str">
        <f>ExpectationRating!C30</f>
        <v>If enteringParkingLot is used in the action/effect, delete the action. Consequently, if the containing transition will have no event, guard, or action after deleting the action, then delete the whole transition.</v>
      </c>
      <c r="D7" s="60"/>
      <c r="E7" s="60"/>
      <c r="F7" s="60"/>
      <c r="G7" s="60"/>
      <c r="H7" s="60"/>
      <c r="I7" s="60"/>
      <c r="J7" s="60"/>
      <c r="K7" s="60"/>
      <c r="L7" s="60"/>
      <c r="M7" s="60"/>
      <c r="N7" s="60"/>
      <c r="O7" s="60"/>
      <c r="P7" s="60"/>
    </row>
    <row r="8" spans="1:16" ht="15" customHeight="1" x14ac:dyDescent="0.25">
      <c r="A8" s="28"/>
      <c r="B8" s="29"/>
      <c r="C8" s="28"/>
      <c r="D8" s="28"/>
      <c r="E8" s="28"/>
      <c r="F8" s="28"/>
      <c r="G8" s="28"/>
      <c r="H8" s="28"/>
      <c r="I8" s="28"/>
      <c r="J8" s="28"/>
      <c r="K8" s="28"/>
      <c r="L8" s="28"/>
      <c r="M8" s="28"/>
      <c r="N8" s="28"/>
      <c r="O8" s="28"/>
      <c r="P8" s="28"/>
    </row>
    <row r="9" spans="1:16" ht="15" customHeight="1" x14ac:dyDescent="0.25">
      <c r="A9" s="76" t="s">
        <v>1</v>
      </c>
      <c r="B9" s="76"/>
      <c r="C9" s="76"/>
      <c r="D9" s="76"/>
      <c r="E9" s="76"/>
      <c r="F9" s="76"/>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76" t="s">
        <v>7</v>
      </c>
      <c r="G10" s="77"/>
      <c r="H10" s="81">
        <f>ExpectationRating!I33</f>
        <v>3</v>
      </c>
      <c r="I10" s="81"/>
      <c r="J10" s="81"/>
      <c r="K10" s="81"/>
      <c r="L10" s="81"/>
      <c r="M10" s="81"/>
      <c r="N10" s="81"/>
      <c r="O10" s="81"/>
      <c r="P10" s="81"/>
    </row>
    <row r="11" spans="1:16" ht="15" customHeight="1" x14ac:dyDescent="0.25">
      <c r="A11" s="3"/>
      <c r="B11" s="3"/>
      <c r="C11" s="3"/>
      <c r="D11" s="3"/>
      <c r="E11" s="3"/>
      <c r="F11" s="3"/>
      <c r="G11" s="3"/>
      <c r="H11" s="3"/>
      <c r="I11" s="3"/>
      <c r="J11" s="3"/>
      <c r="K11" s="3"/>
      <c r="L11" s="3"/>
      <c r="M11" s="3"/>
      <c r="N11" s="3"/>
      <c r="O11" s="3"/>
    </row>
    <row r="12" spans="1:16" ht="15" customHeight="1" x14ac:dyDescent="0.25">
      <c r="A12" s="67" t="s">
        <v>9</v>
      </c>
      <c r="B12" s="67"/>
      <c r="C12" s="67"/>
      <c r="D12" s="67"/>
      <c r="E12" s="67"/>
      <c r="F12" s="67"/>
      <c r="G12" s="67"/>
      <c r="H12" s="67"/>
      <c r="I12" s="67"/>
      <c r="J12" s="67"/>
      <c r="K12" s="67"/>
      <c r="L12" s="67"/>
      <c r="M12" s="67"/>
      <c r="N12" s="67"/>
      <c r="O12" s="67"/>
      <c r="P12" s="67"/>
    </row>
    <row r="13" spans="1:16" s="5" customFormat="1" ht="32.25" customHeight="1" x14ac:dyDescent="0.25">
      <c r="A13" s="70" t="s">
        <v>8</v>
      </c>
      <c r="B13" s="70"/>
      <c r="C13" s="70"/>
      <c r="D13" s="70"/>
      <c r="E13" s="70"/>
      <c r="F13" s="70"/>
      <c r="G13" s="12"/>
      <c r="H13" s="6" t="s">
        <v>2</v>
      </c>
      <c r="I13" s="6">
        <v>1</v>
      </c>
      <c r="J13" s="6">
        <v>2</v>
      </c>
      <c r="K13" s="6">
        <v>3</v>
      </c>
      <c r="L13" s="6">
        <v>4</v>
      </c>
      <c r="M13" s="6">
        <v>5</v>
      </c>
      <c r="N13" s="6">
        <v>6</v>
      </c>
      <c r="O13" s="6">
        <v>7</v>
      </c>
      <c r="P13" s="6" t="s">
        <v>3</v>
      </c>
    </row>
    <row r="14" spans="1:16" ht="15.75" x14ac:dyDescent="0.25">
      <c r="A14" s="63"/>
      <c r="B14" s="63"/>
      <c r="C14" s="63"/>
      <c r="D14" s="63"/>
      <c r="E14" s="63"/>
      <c r="F14" s="55" t="s">
        <v>4</v>
      </c>
      <c r="G14" s="56"/>
      <c r="H14" s="74">
        <v>6</v>
      </c>
      <c r="I14" s="74"/>
      <c r="J14" s="74"/>
      <c r="K14" s="74"/>
      <c r="L14" s="74"/>
      <c r="M14" s="74"/>
      <c r="N14" s="74"/>
      <c r="O14" s="74"/>
      <c r="P14" s="74"/>
    </row>
    <row r="15" spans="1:16" x14ac:dyDescent="0.25">
      <c r="A15" s="3"/>
      <c r="B15" s="3"/>
      <c r="C15" s="3"/>
      <c r="D15" s="3"/>
      <c r="E15" s="3"/>
      <c r="F15" s="3"/>
      <c r="G15" s="3"/>
      <c r="H15" s="3"/>
      <c r="I15" s="3"/>
      <c r="J15" s="3"/>
      <c r="K15" s="3"/>
      <c r="L15" s="3"/>
      <c r="M15" s="3"/>
      <c r="N15" s="3"/>
      <c r="O15" s="3"/>
      <c r="P15" s="3"/>
    </row>
    <row r="16" spans="1:16" ht="15.75" x14ac:dyDescent="0.25">
      <c r="A16" s="67" t="s">
        <v>10</v>
      </c>
      <c r="B16" s="67"/>
      <c r="C16" s="67"/>
      <c r="D16" s="67"/>
      <c r="E16" s="67"/>
      <c r="F16" s="67"/>
      <c r="G16" s="67"/>
      <c r="H16" s="67"/>
      <c r="I16" s="67"/>
      <c r="J16" s="67"/>
      <c r="K16" s="67"/>
      <c r="L16" s="67"/>
      <c r="M16" s="67"/>
      <c r="N16" s="67"/>
      <c r="O16" s="67"/>
      <c r="P16" s="67"/>
    </row>
    <row r="17" spans="1:16" ht="25.5" customHeight="1" x14ac:dyDescent="0.25">
      <c r="A17" s="69" t="s">
        <v>13</v>
      </c>
      <c r="B17" s="69"/>
      <c r="C17" s="69"/>
      <c r="D17" s="69"/>
      <c r="E17" s="69"/>
      <c r="F17" s="69"/>
      <c r="G17" s="69"/>
      <c r="H17" s="69"/>
      <c r="I17" s="69"/>
      <c r="J17" s="69"/>
      <c r="K17" s="69"/>
      <c r="L17" s="69"/>
      <c r="M17" s="69"/>
      <c r="N17" s="69"/>
      <c r="O17" s="69"/>
      <c r="P17" s="69"/>
    </row>
    <row r="18" spans="1:16" ht="30" customHeight="1" x14ac:dyDescent="0.25">
      <c r="A18" s="68" t="s">
        <v>64</v>
      </c>
      <c r="B18" s="68"/>
      <c r="C18" s="68"/>
      <c r="D18" s="68"/>
      <c r="E18" s="68"/>
      <c r="F18" s="68"/>
      <c r="G18" s="13"/>
      <c r="H18" s="15" t="s">
        <v>5</v>
      </c>
      <c r="I18" s="14">
        <v>1</v>
      </c>
      <c r="J18" s="14">
        <v>2</v>
      </c>
      <c r="K18" s="14">
        <v>3</v>
      </c>
      <c r="L18" s="14">
        <v>4</v>
      </c>
      <c r="M18" s="14">
        <v>5</v>
      </c>
      <c r="N18" s="14">
        <v>6</v>
      </c>
      <c r="O18" s="14">
        <v>7</v>
      </c>
      <c r="P18" s="15" t="s">
        <v>6</v>
      </c>
    </row>
    <row r="19" spans="1:16" ht="15" customHeight="1" x14ac:dyDescent="0.25">
      <c r="A19" s="63"/>
      <c r="B19" s="63"/>
      <c r="C19" s="63"/>
      <c r="D19" s="63"/>
      <c r="E19" s="63"/>
      <c r="F19" s="55" t="s">
        <v>4</v>
      </c>
      <c r="G19" s="56"/>
      <c r="H19" s="74">
        <v>0</v>
      </c>
      <c r="I19" s="74"/>
      <c r="J19" s="74"/>
      <c r="K19" s="74"/>
      <c r="L19" s="74"/>
      <c r="M19" s="74"/>
      <c r="N19" s="74"/>
      <c r="O19" s="74"/>
      <c r="P19" s="74"/>
    </row>
    <row r="20" spans="1:16" ht="15" customHeight="1" x14ac:dyDescent="0.25">
      <c r="A20" s="3"/>
      <c r="B20" s="3"/>
      <c r="C20" s="3"/>
      <c r="D20" s="3"/>
      <c r="E20" s="3"/>
      <c r="F20" s="3"/>
      <c r="G20" s="3"/>
      <c r="H20" s="3"/>
      <c r="I20" s="3"/>
      <c r="J20" s="3"/>
      <c r="K20" s="3"/>
      <c r="L20" s="3"/>
      <c r="M20" s="3"/>
      <c r="N20" s="3"/>
      <c r="O20" s="3"/>
    </row>
    <row r="21" spans="1:16" ht="33" customHeight="1" x14ac:dyDescent="0.25">
      <c r="A21" s="68" t="s">
        <v>11</v>
      </c>
      <c r="B21" s="68"/>
      <c r="C21" s="68"/>
      <c r="D21" s="68"/>
      <c r="E21" s="68"/>
      <c r="F21" s="68"/>
      <c r="G21" s="13"/>
      <c r="H21" s="15" t="s">
        <v>5</v>
      </c>
      <c r="I21" s="14">
        <v>1</v>
      </c>
      <c r="J21" s="14">
        <v>2</v>
      </c>
      <c r="K21" s="14">
        <v>3</v>
      </c>
      <c r="L21" s="14">
        <v>4</v>
      </c>
      <c r="M21" s="14">
        <v>5</v>
      </c>
      <c r="N21" s="14">
        <v>6</v>
      </c>
      <c r="O21" s="14">
        <v>7</v>
      </c>
      <c r="P21" s="15" t="s">
        <v>6</v>
      </c>
    </row>
    <row r="22" spans="1:16" ht="15.75" x14ac:dyDescent="0.25">
      <c r="A22" s="63"/>
      <c r="B22" s="63"/>
      <c r="C22" s="63"/>
      <c r="D22" s="63"/>
      <c r="E22" s="63"/>
      <c r="F22" s="55" t="s">
        <v>4</v>
      </c>
      <c r="G22" s="56"/>
      <c r="H22" s="74">
        <v>0</v>
      </c>
      <c r="I22" s="74"/>
      <c r="J22" s="74"/>
      <c r="K22" s="74"/>
      <c r="L22" s="74"/>
      <c r="M22" s="74"/>
      <c r="N22" s="74"/>
      <c r="O22" s="74"/>
      <c r="P22" s="74"/>
    </row>
    <row r="23" spans="1:16" x14ac:dyDescent="0.25">
      <c r="A23" s="3"/>
      <c r="B23" s="3"/>
      <c r="C23" s="3"/>
      <c r="D23" s="3"/>
      <c r="E23" s="3"/>
      <c r="F23" s="3"/>
      <c r="G23" s="3"/>
      <c r="H23" s="3"/>
      <c r="I23" s="3"/>
      <c r="J23" s="3"/>
      <c r="K23" s="3"/>
      <c r="L23" s="3"/>
      <c r="M23" s="3"/>
      <c r="N23" s="3"/>
      <c r="O23" s="3"/>
      <c r="P23" s="3"/>
    </row>
    <row r="24" spans="1:16" ht="31.5" customHeight="1" x14ac:dyDescent="0.25">
      <c r="A24" s="68" t="s">
        <v>12</v>
      </c>
      <c r="B24" s="68"/>
      <c r="C24" s="68"/>
      <c r="D24" s="68"/>
      <c r="E24" s="68"/>
      <c r="F24" s="68"/>
      <c r="G24" s="13"/>
      <c r="H24" s="15" t="s">
        <v>5</v>
      </c>
      <c r="I24" s="14">
        <v>1</v>
      </c>
      <c r="J24" s="14">
        <v>2</v>
      </c>
      <c r="K24" s="14">
        <v>3</v>
      </c>
      <c r="L24" s="14">
        <v>4</v>
      </c>
      <c r="M24" s="14">
        <v>5</v>
      </c>
      <c r="N24" s="14">
        <v>6</v>
      </c>
      <c r="O24" s="14">
        <v>7</v>
      </c>
      <c r="P24" s="15" t="s">
        <v>6</v>
      </c>
    </row>
    <row r="25" spans="1:16" ht="15.75" x14ac:dyDescent="0.25">
      <c r="A25" s="63"/>
      <c r="B25" s="63"/>
      <c r="C25" s="63"/>
      <c r="D25" s="63"/>
      <c r="E25" s="63"/>
      <c r="F25" s="55" t="s">
        <v>4</v>
      </c>
      <c r="G25" s="56"/>
      <c r="H25" s="74">
        <v>0</v>
      </c>
      <c r="I25" s="74"/>
      <c r="J25" s="74"/>
      <c r="K25" s="74"/>
      <c r="L25" s="74"/>
      <c r="M25" s="74"/>
      <c r="N25" s="74"/>
      <c r="O25" s="74"/>
      <c r="P25" s="74"/>
    </row>
    <row r="26" spans="1:16"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1" spans="1:16" ht="15" customHeight="1" x14ac:dyDescent="0.25">
      <c r="A31" s="3"/>
      <c r="B31" s="3"/>
      <c r="C31" s="3"/>
      <c r="D31" s="3"/>
      <c r="E31" s="3"/>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c r="P32" s="3"/>
    </row>
    <row r="33" spans="1:16" ht="21.75" customHeight="1" x14ac:dyDescent="0.25">
      <c r="A33" s="3"/>
      <c r="B33" s="3"/>
      <c r="C33" s="3"/>
      <c r="D33" s="3"/>
      <c r="E33" s="3"/>
      <c r="F33" s="3"/>
      <c r="G33" s="3"/>
      <c r="H33" s="3"/>
      <c r="I33" s="3"/>
      <c r="J33" s="3"/>
      <c r="K33" s="3"/>
      <c r="L33" s="3"/>
      <c r="M33" s="3"/>
      <c r="N33" s="3"/>
      <c r="O33" s="3"/>
      <c r="P33" s="3"/>
    </row>
    <row r="34" spans="1:16" ht="25.5" customHeight="1" x14ac:dyDescent="0.25"/>
    <row r="35" spans="1:16" ht="38.25" customHeight="1" x14ac:dyDescent="0.25">
      <c r="A35" s="3"/>
      <c r="B35" s="3"/>
      <c r="C35" s="3"/>
      <c r="D35" s="3"/>
      <c r="E35" s="3"/>
      <c r="F35" s="3"/>
    </row>
    <row r="36" spans="1:16" ht="35.25" customHeight="1" x14ac:dyDescent="0.25">
      <c r="F36" s="3"/>
      <c r="G36" s="3"/>
      <c r="H36" s="3"/>
      <c r="I36" s="3"/>
      <c r="J36" s="3"/>
      <c r="K36" s="3"/>
      <c r="L36" s="3"/>
      <c r="M36" s="3"/>
      <c r="N36" s="3"/>
      <c r="O36" s="3"/>
      <c r="P36" s="3"/>
    </row>
    <row r="37" spans="1:16" ht="15" customHeight="1" x14ac:dyDescent="0.25">
      <c r="A37" s="3"/>
      <c r="B37" s="3"/>
      <c r="C37" s="3"/>
      <c r="D37" s="3"/>
      <c r="E37" s="3"/>
      <c r="F37" s="3"/>
      <c r="G37" s="3"/>
      <c r="H37" s="3"/>
      <c r="I37" s="3"/>
      <c r="J37" s="3"/>
      <c r="K37" s="3"/>
      <c r="L37" s="3"/>
      <c r="M37" s="3"/>
      <c r="N37" s="3"/>
      <c r="O37" s="3"/>
    </row>
    <row r="38" spans="1:16" x14ac:dyDescent="0.25">
      <c r="A38" s="3"/>
      <c r="B38" s="3"/>
      <c r="C38" s="3"/>
      <c r="D38" s="3"/>
      <c r="E38" s="3"/>
      <c r="F38" s="3"/>
      <c r="G38" s="3"/>
      <c r="H38" s="3"/>
      <c r="I38" s="3"/>
      <c r="J38" s="3"/>
      <c r="K38" s="3"/>
      <c r="L38" s="3"/>
      <c r="M38" s="3"/>
      <c r="N38" s="3"/>
      <c r="O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row>
    <row r="43" spans="1:16" x14ac:dyDescent="0.25">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row>
    <row r="45" spans="1:16" x14ac:dyDescent="0.25">
      <c r="A45" s="3"/>
      <c r="B45" s="3"/>
      <c r="C45" s="3"/>
      <c r="D45" s="3"/>
      <c r="E45" s="3"/>
      <c r="F45" s="3"/>
      <c r="G45" s="3"/>
      <c r="H45" s="3"/>
      <c r="I45" s="3"/>
      <c r="J45" s="3"/>
      <c r="K45" s="3"/>
      <c r="L45" s="3"/>
      <c r="M45" s="3"/>
      <c r="N45" s="3"/>
      <c r="O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row>
    <row r="50" spans="1:16" x14ac:dyDescent="0.25">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c r="P56" s="3"/>
    </row>
    <row r="58" spans="1:16" x14ac:dyDescent="0.25">
      <c r="A58" s="3"/>
      <c r="B58" s="3"/>
      <c r="C58" s="3"/>
      <c r="D58" s="3"/>
      <c r="E58" s="3"/>
      <c r="F58" s="3"/>
    </row>
    <row r="59" spans="1:16" x14ac:dyDescent="0.25">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row>
    <row r="61" spans="1:16" x14ac:dyDescent="0.25">
      <c r="A61" s="3"/>
      <c r="B61" s="3"/>
      <c r="C61" s="3"/>
      <c r="D61" s="3"/>
      <c r="E61" s="3"/>
      <c r="F61" s="3"/>
      <c r="G61" s="3"/>
      <c r="H61" s="3"/>
      <c r="I61" s="3"/>
      <c r="J61" s="3"/>
      <c r="K61" s="3"/>
      <c r="L61" s="3"/>
      <c r="M61" s="3"/>
      <c r="N61" s="3"/>
      <c r="O61" s="3"/>
    </row>
    <row r="62" spans="1:16" x14ac:dyDescent="0.25">
      <c r="A62" s="3"/>
      <c r="B62" s="3"/>
      <c r="C62" s="3"/>
      <c r="D62" s="3"/>
      <c r="E62" s="3"/>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c r="P63" s="3"/>
    </row>
    <row r="64" spans="1:16" x14ac:dyDescent="0.25">
      <c r="A64" s="3"/>
      <c r="B64" s="3"/>
      <c r="C64" s="3"/>
      <c r="D64" s="3"/>
      <c r="E64" s="3"/>
      <c r="F64" s="3"/>
    </row>
    <row r="65" spans="1:16" x14ac:dyDescent="0.25">
      <c r="F65" s="3"/>
      <c r="G65" s="3"/>
      <c r="H65" s="3"/>
      <c r="I65" s="3"/>
      <c r="J65" s="3"/>
      <c r="K65" s="3"/>
      <c r="L65" s="3"/>
      <c r="M65" s="3"/>
      <c r="N65" s="3"/>
      <c r="O65" s="3"/>
      <c r="P65" s="3"/>
    </row>
    <row r="66" spans="1:16" x14ac:dyDescent="0.25">
      <c r="A66" s="3"/>
      <c r="B66" s="3"/>
      <c r="C66" s="3"/>
      <c r="D66" s="3"/>
      <c r="E66" s="3"/>
      <c r="F66" s="3"/>
      <c r="G66" s="3"/>
      <c r="H66" s="3"/>
      <c r="I66" s="3"/>
      <c r="J66" s="3"/>
      <c r="K66" s="3"/>
      <c r="L66" s="3"/>
      <c r="M66" s="3"/>
      <c r="N66" s="3"/>
      <c r="O66" s="3"/>
    </row>
    <row r="70" spans="1:16" x14ac:dyDescent="0.25">
      <c r="A70" s="3"/>
      <c r="B70" s="3"/>
      <c r="C70" s="3"/>
      <c r="D70" s="3"/>
      <c r="E70" s="3"/>
      <c r="F70" s="3"/>
    </row>
    <row r="71" spans="1:16" x14ac:dyDescent="0.25">
      <c r="F71" s="3"/>
      <c r="G71" s="3"/>
      <c r="H71" s="3"/>
      <c r="I71" s="3"/>
      <c r="J71" s="3"/>
      <c r="K71" s="3"/>
      <c r="L71" s="3"/>
      <c r="M71" s="3"/>
      <c r="N71" s="3"/>
      <c r="O71" s="3"/>
      <c r="P71" s="3"/>
    </row>
    <row r="73" spans="1:16" ht="48.75" customHeight="1" x14ac:dyDescent="0.25"/>
    <row r="74" spans="1:16" ht="15" customHeight="1" x14ac:dyDescent="0.25">
      <c r="A74" s="3"/>
      <c r="B74" s="3"/>
      <c r="C74" s="3"/>
      <c r="D74" s="3"/>
      <c r="E74" s="3"/>
      <c r="F74" s="3"/>
    </row>
    <row r="75" spans="1:16" ht="15" customHeight="1" x14ac:dyDescent="0.25">
      <c r="F75" s="3"/>
      <c r="G75" s="3"/>
      <c r="H75" s="3"/>
      <c r="I75" s="3"/>
      <c r="J75" s="3"/>
      <c r="K75" s="3"/>
      <c r="L75" s="3"/>
      <c r="M75" s="3"/>
      <c r="N75" s="3"/>
      <c r="O75" s="3"/>
      <c r="P75" s="3"/>
    </row>
    <row r="76" spans="1:16" ht="15" customHeight="1" x14ac:dyDescent="0.25"/>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3"/>
      <c r="B113" s="3"/>
      <c r="C113" s="3"/>
      <c r="D113" s="3"/>
      <c r="E113" s="3"/>
      <c r="F113" s="3"/>
      <c r="G113" s="3"/>
      <c r="H113" s="3"/>
      <c r="I113" s="3"/>
      <c r="J113" s="3"/>
      <c r="K113" s="3"/>
      <c r="L113" s="3"/>
      <c r="M113" s="3"/>
      <c r="N113" s="3"/>
      <c r="O113" s="3"/>
    </row>
    <row r="114" spans="1:15" x14ac:dyDescent="0.25">
      <c r="A114" s="3"/>
      <c r="B114" s="3"/>
      <c r="C114" s="3"/>
      <c r="D114" s="3"/>
      <c r="E114" s="3"/>
      <c r="F114" s="3"/>
      <c r="G114" s="3"/>
      <c r="H114" s="3"/>
      <c r="I114" s="3"/>
      <c r="J114" s="3"/>
      <c r="K114" s="3"/>
      <c r="L114" s="3"/>
      <c r="M114" s="3"/>
      <c r="N114" s="3"/>
      <c r="O114" s="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sheetData>
  <mergeCells count="55">
    <mergeCell ref="A1:B1"/>
    <mergeCell ref="N1:O1"/>
    <mergeCell ref="A141:O141"/>
    <mergeCell ref="A135:O135"/>
    <mergeCell ref="A136:O136"/>
    <mergeCell ref="A137:O137"/>
    <mergeCell ref="A138:O138"/>
    <mergeCell ref="A139:O139"/>
    <mergeCell ref="A140:O140"/>
    <mergeCell ref="A129:O129"/>
    <mergeCell ref="A130:O130"/>
    <mergeCell ref="A131:O131"/>
    <mergeCell ref="A132:O132"/>
    <mergeCell ref="A133:O133"/>
    <mergeCell ref="A134:O134"/>
    <mergeCell ref="A128:O128"/>
    <mergeCell ref="A123:O123"/>
    <mergeCell ref="A124:O124"/>
    <mergeCell ref="A125:O125"/>
    <mergeCell ref="A126:O126"/>
    <mergeCell ref="A117:O117"/>
    <mergeCell ref="A118:O118"/>
    <mergeCell ref="A119:O119"/>
    <mergeCell ref="A120:O120"/>
    <mergeCell ref="A121:O121"/>
    <mergeCell ref="A127:O127"/>
    <mergeCell ref="A116:O116"/>
    <mergeCell ref="A18:F18"/>
    <mergeCell ref="A19:E19"/>
    <mergeCell ref="F19:G19"/>
    <mergeCell ref="H19:P19"/>
    <mergeCell ref="A21:F21"/>
    <mergeCell ref="A22:E22"/>
    <mergeCell ref="F22:G22"/>
    <mergeCell ref="H22:P22"/>
    <mergeCell ref="A24:F24"/>
    <mergeCell ref="A25:E25"/>
    <mergeCell ref="F25:G25"/>
    <mergeCell ref="H25:P25"/>
    <mergeCell ref="A115:O115"/>
    <mergeCell ref="A122:O122"/>
    <mergeCell ref="A2:P3"/>
    <mergeCell ref="C5:P5"/>
    <mergeCell ref="C6:P6"/>
    <mergeCell ref="A17:P17"/>
    <mergeCell ref="A9:F9"/>
    <mergeCell ref="F10:G10"/>
    <mergeCell ref="H10:P10"/>
    <mergeCell ref="A12:P12"/>
    <mergeCell ref="A13:F13"/>
    <mergeCell ref="A14:E14"/>
    <mergeCell ref="F14:G14"/>
    <mergeCell ref="H14:P14"/>
    <mergeCell ref="A16:P16"/>
    <mergeCell ref="C7:P7"/>
  </mergeCells>
  <conditionalFormatting sqref="A12:P13 A14 F14:P14">
    <cfRule type="expression" dxfId="308" priority="61">
      <formula>AND($H14&gt;=1,$H14&lt;=7)</formula>
    </cfRule>
  </conditionalFormatting>
  <conditionalFormatting sqref="A13:F13">
    <cfRule type="expression" dxfId="307" priority="60">
      <formula>AND(H14&gt;=1,H14&lt;=7)</formula>
    </cfRule>
  </conditionalFormatting>
  <conditionalFormatting sqref="G13">
    <cfRule type="expression" dxfId="306" priority="59">
      <formula>AND(H14&gt;=1,H14&lt;=7)</formula>
    </cfRule>
  </conditionalFormatting>
  <conditionalFormatting sqref="H13">
    <cfRule type="expression" dxfId="305" priority="58">
      <formula>AND(H14&gt;=1,H14&lt;=7)</formula>
    </cfRule>
  </conditionalFormatting>
  <conditionalFormatting sqref="I13">
    <cfRule type="expression" dxfId="304" priority="57">
      <formula>AND(H14&gt;=1,H14&lt;=7)</formula>
    </cfRule>
  </conditionalFormatting>
  <conditionalFormatting sqref="J13">
    <cfRule type="expression" dxfId="303" priority="56">
      <formula>AND(H14&gt;=1,H14&lt;=7)</formula>
    </cfRule>
  </conditionalFormatting>
  <conditionalFormatting sqref="K13">
    <cfRule type="expression" dxfId="302" priority="55">
      <formula>AND(H14&gt;=1,H14&lt;=7)</formula>
    </cfRule>
  </conditionalFormatting>
  <conditionalFormatting sqref="L13">
    <cfRule type="expression" dxfId="301" priority="54">
      <formula>AND(H14&gt;=1,H14&lt;=7)</formula>
    </cfRule>
  </conditionalFormatting>
  <conditionalFormatting sqref="M13">
    <cfRule type="expression" dxfId="300" priority="53">
      <formula>AND(H14&gt;=1,H14&lt;=7)</formula>
    </cfRule>
  </conditionalFormatting>
  <conditionalFormatting sqref="N13">
    <cfRule type="expression" dxfId="299" priority="52">
      <formula>AND(H14&gt;=1,H14&lt;=7)</formula>
    </cfRule>
  </conditionalFormatting>
  <conditionalFormatting sqref="O13">
    <cfRule type="expression" dxfId="298" priority="51">
      <formula>AND(H14&gt;=1,H14&lt;=7)</formula>
    </cfRule>
  </conditionalFormatting>
  <conditionalFormatting sqref="P13">
    <cfRule type="expression" dxfId="297" priority="50">
      <formula>AND(H14&gt;=1,H14&lt;=7)</formula>
    </cfRule>
  </conditionalFormatting>
  <conditionalFormatting sqref="A14:E14">
    <cfRule type="expression" dxfId="296" priority="49">
      <formula>AND(H14&gt;=1,H14&lt;=7)</formula>
    </cfRule>
  </conditionalFormatting>
  <conditionalFormatting sqref="H14:P14">
    <cfRule type="expression" dxfId="295" priority="48">
      <formula>AND(H14&gt;=1,H14&lt;=7)</formula>
    </cfRule>
  </conditionalFormatting>
  <conditionalFormatting sqref="A16:P16">
    <cfRule type="expression" dxfId="294" priority="47">
      <formula>AND($H18&gt;=1,$H18&lt;=7)</formula>
    </cfRule>
  </conditionalFormatting>
  <conditionalFormatting sqref="G18:P18 A19 F19:P19">
    <cfRule type="expression" dxfId="293" priority="46">
      <formula>AND($H20&gt;=1,$H20&lt;=7)</formula>
    </cfRule>
  </conditionalFormatting>
  <conditionalFormatting sqref="G18">
    <cfRule type="expression" dxfId="292" priority="44">
      <formula>AND(H19&gt;=1,H19&lt;=7)</formula>
    </cfRule>
  </conditionalFormatting>
  <conditionalFormatting sqref="H18">
    <cfRule type="expression" dxfId="291" priority="43">
      <formula>AND(H19&gt;=1,H19&lt;=7)</formula>
    </cfRule>
  </conditionalFormatting>
  <conditionalFormatting sqref="I18">
    <cfRule type="expression" dxfId="290" priority="42">
      <formula>AND(H19&gt;=1,H19&lt;=7)</formula>
    </cfRule>
  </conditionalFormatting>
  <conditionalFormatting sqref="J18">
    <cfRule type="expression" dxfId="289" priority="41">
      <formula>AND(H19&gt;=1,H19&lt;=7)</formula>
    </cfRule>
  </conditionalFormatting>
  <conditionalFormatting sqref="K18">
    <cfRule type="expression" dxfId="288" priority="40">
      <formula>AND(H19&gt;=1,H19&lt;=7)</formula>
    </cfRule>
  </conditionalFormatting>
  <conditionalFormatting sqref="L18">
    <cfRule type="expression" dxfId="287" priority="39">
      <formula>AND(H19&gt;=1,H19&lt;=7)</formula>
    </cfRule>
  </conditionalFormatting>
  <conditionalFormatting sqref="M18">
    <cfRule type="expression" dxfId="286" priority="38">
      <formula>AND(H19&gt;=1,H19&lt;=7)</formula>
    </cfRule>
  </conditionalFormatting>
  <conditionalFormatting sqref="N18">
    <cfRule type="expression" dxfId="285" priority="37">
      <formula>AND(H19&gt;=1,H19&lt;=7)</formula>
    </cfRule>
  </conditionalFormatting>
  <conditionalFormatting sqref="O18">
    <cfRule type="expression" dxfId="284" priority="36">
      <formula>AND(H19&gt;=1,H19&lt;=7)</formula>
    </cfRule>
  </conditionalFormatting>
  <conditionalFormatting sqref="P18">
    <cfRule type="expression" dxfId="283" priority="35">
      <formula>AND(H19&gt;=1,H19&lt;=7)</formula>
    </cfRule>
  </conditionalFormatting>
  <conditionalFormatting sqref="A19:E19">
    <cfRule type="expression" dxfId="282" priority="34">
      <formula>AND(H19&gt;=1,H19&lt;=7)</formula>
    </cfRule>
  </conditionalFormatting>
  <conditionalFormatting sqref="H19:P19">
    <cfRule type="expression" dxfId="281" priority="33">
      <formula>AND(H19&gt;=1,H19&lt;=7)</formula>
    </cfRule>
  </conditionalFormatting>
  <conditionalFormatting sqref="A21:G21 A22 F22:P22">
    <cfRule type="expression" dxfId="280" priority="32">
      <formula>AND($H23&gt;=1,$H23&lt;=7)</formula>
    </cfRule>
  </conditionalFormatting>
  <conditionalFormatting sqref="A21:F21">
    <cfRule type="expression" dxfId="279" priority="31">
      <formula>AND(H22&gt;=1,H22&lt;=7)</formula>
    </cfRule>
  </conditionalFormatting>
  <conditionalFormatting sqref="G21">
    <cfRule type="expression" dxfId="278" priority="30">
      <formula>AND(H22&gt;=1,H22&lt;=7)</formula>
    </cfRule>
  </conditionalFormatting>
  <conditionalFormatting sqref="A22:E22">
    <cfRule type="expression" dxfId="277" priority="29">
      <formula>AND(H22&gt;=1,H22&lt;=7)</formula>
    </cfRule>
  </conditionalFormatting>
  <conditionalFormatting sqref="H22:P22">
    <cfRule type="expression" dxfId="276" priority="28">
      <formula>AND(H22&gt;=1,H22&lt;=7)</formula>
    </cfRule>
  </conditionalFormatting>
  <conditionalFormatting sqref="A24:G24 A25 F25:P25">
    <cfRule type="expression" dxfId="275" priority="27">
      <formula>AND($H26&gt;=1,$H26&lt;=7)</formula>
    </cfRule>
  </conditionalFormatting>
  <conditionalFormatting sqref="A24:F24">
    <cfRule type="expression" dxfId="274" priority="26">
      <formula>AND(H25&gt;=1,H25&lt;=7)</formula>
    </cfRule>
  </conditionalFormatting>
  <conditionalFormatting sqref="G24">
    <cfRule type="expression" dxfId="273" priority="25">
      <formula>AND(H25&gt;=1,H25&lt;=7)</formula>
    </cfRule>
  </conditionalFormatting>
  <conditionalFormatting sqref="A25:E25">
    <cfRule type="expression" dxfId="272" priority="24">
      <formula>AND(H25&gt;=1,H25&lt;=7)</formula>
    </cfRule>
  </conditionalFormatting>
  <conditionalFormatting sqref="H25:P25">
    <cfRule type="expression" dxfId="271" priority="23">
      <formula>AND(H25&gt;=1,H25&lt;=7)</formula>
    </cfRule>
  </conditionalFormatting>
  <conditionalFormatting sqref="H21:P21">
    <cfRule type="expression" dxfId="270" priority="22">
      <formula>AND($H23&gt;=1,$H23&lt;=7)</formula>
    </cfRule>
  </conditionalFormatting>
  <conditionalFormatting sqref="H21">
    <cfRule type="expression" dxfId="269" priority="21">
      <formula>AND(H22&gt;=1,H22&lt;=7)</formula>
    </cfRule>
  </conditionalFormatting>
  <conditionalFormatting sqref="I21">
    <cfRule type="expression" dxfId="268" priority="20">
      <formula>AND(H22&gt;=1,H22&lt;=7)</formula>
    </cfRule>
  </conditionalFormatting>
  <conditionalFormatting sqref="J21">
    <cfRule type="expression" dxfId="267" priority="19">
      <formula>AND(H22&gt;=1,H22&lt;=7)</formula>
    </cfRule>
  </conditionalFormatting>
  <conditionalFormatting sqref="K21">
    <cfRule type="expression" dxfId="266" priority="18">
      <formula>AND(H22&gt;=1,H22&lt;=7)</formula>
    </cfRule>
  </conditionalFormatting>
  <conditionalFormatting sqref="L21">
    <cfRule type="expression" dxfId="265" priority="17">
      <formula>AND(H22&gt;=1,H22&lt;=7)</formula>
    </cfRule>
  </conditionalFormatting>
  <conditionalFormatting sqref="M21">
    <cfRule type="expression" dxfId="264" priority="16">
      <formula>AND(H22&gt;=1,H22&lt;=7)</formula>
    </cfRule>
  </conditionalFormatting>
  <conditionalFormatting sqref="N21">
    <cfRule type="expression" dxfId="263" priority="15">
      <formula>AND(H22&gt;=1,H22&lt;=7)</formula>
    </cfRule>
  </conditionalFormatting>
  <conditionalFormatting sqref="O21">
    <cfRule type="expression" dxfId="262" priority="14">
      <formula>AND(H22&gt;=1,H22&lt;=7)</formula>
    </cfRule>
  </conditionalFormatting>
  <conditionalFormatting sqref="P21">
    <cfRule type="expression" dxfId="261" priority="13">
      <formula>AND(H22&gt;=1,H22&lt;=7)</formula>
    </cfRule>
  </conditionalFormatting>
  <conditionalFormatting sqref="H24:P24">
    <cfRule type="expression" dxfId="260" priority="12">
      <formula>AND($H26&gt;=1,$H26&lt;=7)</formula>
    </cfRule>
  </conditionalFormatting>
  <conditionalFormatting sqref="H24">
    <cfRule type="expression" dxfId="259" priority="11">
      <formula>AND(H25&gt;=1,H25&lt;=7)</formula>
    </cfRule>
  </conditionalFormatting>
  <conditionalFormatting sqref="I24">
    <cfRule type="expression" dxfId="258" priority="10">
      <formula>AND(H25&gt;=1,H25&lt;=7)</formula>
    </cfRule>
  </conditionalFormatting>
  <conditionalFormatting sqref="J24">
    <cfRule type="expression" dxfId="257" priority="9">
      <formula>AND(H25&gt;=1,H25&lt;=7)</formula>
    </cfRule>
  </conditionalFormatting>
  <conditionalFormatting sqref="K24">
    <cfRule type="expression" dxfId="256" priority="8">
      <formula>AND(H25&gt;=1,H25&lt;=7)</formula>
    </cfRule>
  </conditionalFormatting>
  <conditionalFormatting sqref="L24">
    <cfRule type="expression" dxfId="255" priority="7">
      <formula>AND(H25&gt;=1,H25&lt;=7)</formula>
    </cfRule>
  </conditionalFormatting>
  <conditionalFormatting sqref="M24">
    <cfRule type="expression" dxfId="254" priority="6">
      <formula>AND(H25&gt;=1,H25&lt;=7)</formula>
    </cfRule>
  </conditionalFormatting>
  <conditionalFormatting sqref="N24">
    <cfRule type="expression" dxfId="253" priority="5">
      <formula>AND(H25&gt;=1,H25&lt;=7)</formula>
    </cfRule>
  </conditionalFormatting>
  <conditionalFormatting sqref="O24">
    <cfRule type="expression" dxfId="252" priority="4">
      <formula>AND(H25&gt;=1,H25&lt;=7)</formula>
    </cfRule>
  </conditionalFormatting>
  <conditionalFormatting sqref="P24">
    <cfRule type="expression" dxfId="251" priority="3">
      <formula>AND(H25&gt;=1,H25&lt;=7)</formula>
    </cfRule>
  </conditionalFormatting>
  <conditionalFormatting sqref="A18:F18">
    <cfRule type="expression" dxfId="250" priority="2">
      <formula>AND($H20&gt;=1,$H20&lt;=7)</formula>
    </cfRule>
  </conditionalFormatting>
  <conditionalFormatting sqref="A18:F18">
    <cfRule type="expression" dxfId="249" priority="1">
      <formula>AND(H19&gt;=1,H19&lt;=7)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macro="[0]!chkBoxYesGotErrorMessage_Click">
                <anchor moveWithCells="1">
                  <from>
                    <xdr:col>8</xdr:col>
                    <xdr:colOff>0</xdr:colOff>
                    <xdr:row>15</xdr:row>
                    <xdr:rowOff>19050</xdr:rowOff>
                  </from>
                  <to>
                    <xdr:col>9</xdr:col>
                    <xdr:colOff>9525</xdr:colOff>
                    <xdr:row>16</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macro="[0]!chkBoxNoErrorMessage">
                <anchor moveWithCells="1">
                  <from>
                    <xdr:col>9</xdr:col>
                    <xdr:colOff>57150</xdr:colOff>
                    <xdr:row>15</xdr:row>
                    <xdr:rowOff>19050</xdr:rowOff>
                  </from>
                  <to>
                    <xdr:col>9</xdr:col>
                    <xdr:colOff>590550</xdr:colOff>
                    <xdr:row>16</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137"/>
  <sheetViews>
    <sheetView showGridLines="0" workbookViewId="0">
      <selection activeCell="H11" sqref="H11"/>
    </sheetView>
  </sheetViews>
  <sheetFormatPr defaultRowHeight="15" x14ac:dyDescent="0.25"/>
  <cols>
    <col min="16" max="16" width="12.7109375" bestFit="1" customWidth="1"/>
  </cols>
  <sheetData>
    <row r="1" spans="1:16" x14ac:dyDescent="0.25">
      <c r="A1" s="75" t="s">
        <v>42</v>
      </c>
      <c r="B1" s="75"/>
      <c r="C1" s="37">
        <f>Timings!$B$5</f>
        <v>1.7939814814814815E-3</v>
      </c>
      <c r="D1" s="36"/>
      <c r="E1" s="35"/>
      <c r="F1" s="35"/>
      <c r="G1" s="35"/>
      <c r="H1" s="35"/>
      <c r="I1" s="35"/>
      <c r="J1" s="35"/>
      <c r="K1" s="35"/>
      <c r="L1" s="35"/>
      <c r="M1" s="35"/>
      <c r="N1" s="75" t="s">
        <v>43</v>
      </c>
      <c r="O1" s="75"/>
      <c r="P1" s="37">
        <f ca="1">IF(Welcome!$B$4&lt;&gt;"",IF(Welcome!$B$5="",NOW()-Welcome!$B$4,Welcome!$B$6),"")</f>
        <v>1.9004629633855075E-2</v>
      </c>
    </row>
    <row r="2" spans="1:16" x14ac:dyDescent="0.25">
      <c r="A2" s="52" t="str">
        <f>ExpectationRating!A36</f>
        <v>Task5: The Sensor class has the Blockage attribute with the type of int. Change the Blockage attribute’s type from int to bool and find any inconsistencies it may occur.</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ExpectationRating!I40</f>
        <v>2</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5</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0</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0</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0</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B1"/>
    <mergeCell ref="N1:O1"/>
    <mergeCell ref="A8:P8"/>
    <mergeCell ref="A5:F5"/>
    <mergeCell ref="F6:G6"/>
    <mergeCell ref="H6:P6"/>
    <mergeCell ref="A2:P4"/>
  </mergeCells>
  <conditionalFormatting sqref="A8:P9 A10 F10:P10">
    <cfRule type="expression" dxfId="248" priority="61">
      <formula>AND($H10&gt;=1,$H10&lt;=7)</formula>
    </cfRule>
  </conditionalFormatting>
  <conditionalFormatting sqref="A9:F9">
    <cfRule type="expression" dxfId="247" priority="60">
      <formula>AND(H10&gt;=1,H10&lt;=7)</formula>
    </cfRule>
  </conditionalFormatting>
  <conditionalFormatting sqref="G9">
    <cfRule type="expression" dxfId="246" priority="59">
      <formula>AND(H10&gt;=1,H10&lt;=7)</formula>
    </cfRule>
  </conditionalFormatting>
  <conditionalFormatting sqref="H9">
    <cfRule type="expression" dxfId="245" priority="58">
      <formula>AND(H10&gt;=1,H10&lt;=7)</formula>
    </cfRule>
  </conditionalFormatting>
  <conditionalFormatting sqref="I9">
    <cfRule type="expression" dxfId="244" priority="57">
      <formula>AND(H10&gt;=1,H10&lt;=7)</formula>
    </cfRule>
  </conditionalFormatting>
  <conditionalFormatting sqref="J9">
    <cfRule type="expression" dxfId="243" priority="56">
      <formula>AND(H10&gt;=1,H10&lt;=7)</formula>
    </cfRule>
  </conditionalFormatting>
  <conditionalFormatting sqref="K9">
    <cfRule type="expression" dxfId="242" priority="55">
      <formula>AND(H10&gt;=1,H10&lt;=7)</formula>
    </cfRule>
  </conditionalFormatting>
  <conditionalFormatting sqref="L9">
    <cfRule type="expression" dxfId="241" priority="54">
      <formula>AND(H10&gt;=1,H10&lt;=7)</formula>
    </cfRule>
  </conditionalFormatting>
  <conditionalFormatting sqref="M9">
    <cfRule type="expression" dxfId="240" priority="53">
      <formula>AND(H10&gt;=1,H10&lt;=7)</formula>
    </cfRule>
  </conditionalFormatting>
  <conditionalFormatting sqref="N9">
    <cfRule type="expression" dxfId="239" priority="52">
      <formula>AND(H10&gt;=1,H10&lt;=7)</formula>
    </cfRule>
  </conditionalFormatting>
  <conditionalFormatting sqref="O9">
    <cfRule type="expression" dxfId="238" priority="51">
      <formula>AND(H10&gt;=1,H10&lt;=7)</formula>
    </cfRule>
  </conditionalFormatting>
  <conditionalFormatting sqref="P9">
    <cfRule type="expression" dxfId="237" priority="50">
      <formula>AND(H10&gt;=1,H10&lt;=7)</formula>
    </cfRule>
  </conditionalFormatting>
  <conditionalFormatting sqref="A10:E10">
    <cfRule type="expression" dxfId="236" priority="49">
      <formula>AND(H10&gt;=1,H10&lt;=7)</formula>
    </cfRule>
  </conditionalFormatting>
  <conditionalFormatting sqref="H10:P10">
    <cfRule type="expression" dxfId="235" priority="48">
      <formula>AND(H10&gt;=1,H10&lt;=7)</formula>
    </cfRule>
  </conditionalFormatting>
  <conditionalFormatting sqref="A12:P12">
    <cfRule type="expression" dxfId="234" priority="47">
      <formula>AND($H14&gt;=1,$H14&lt;=7)</formula>
    </cfRule>
  </conditionalFormatting>
  <conditionalFormatting sqref="G14:P14 A15 F15:P15">
    <cfRule type="expression" dxfId="233" priority="46">
      <formula>AND($H16&gt;=1,$H16&lt;=7)</formula>
    </cfRule>
  </conditionalFormatting>
  <conditionalFormatting sqref="G14">
    <cfRule type="expression" dxfId="232" priority="44">
      <formula>AND(H15&gt;=1,H15&lt;=7)</formula>
    </cfRule>
  </conditionalFormatting>
  <conditionalFormatting sqref="H14">
    <cfRule type="expression" dxfId="231" priority="43">
      <formula>AND(H15&gt;=1,H15&lt;=7)</formula>
    </cfRule>
  </conditionalFormatting>
  <conditionalFormatting sqref="I14">
    <cfRule type="expression" dxfId="230" priority="42">
      <formula>AND(H15&gt;=1,H15&lt;=7)</formula>
    </cfRule>
  </conditionalFormatting>
  <conditionalFormatting sqref="J14">
    <cfRule type="expression" dxfId="229" priority="41">
      <formula>AND(H15&gt;=1,H15&lt;=7)</formula>
    </cfRule>
  </conditionalFormatting>
  <conditionalFormatting sqref="K14">
    <cfRule type="expression" dxfId="228" priority="40">
      <formula>AND(H15&gt;=1,H15&lt;=7)</formula>
    </cfRule>
  </conditionalFormatting>
  <conditionalFormatting sqref="L14">
    <cfRule type="expression" dxfId="227" priority="39">
      <formula>AND(H15&gt;=1,H15&lt;=7)</formula>
    </cfRule>
  </conditionalFormatting>
  <conditionalFormatting sqref="M14">
    <cfRule type="expression" dxfId="226" priority="38">
      <formula>AND(H15&gt;=1,H15&lt;=7)</formula>
    </cfRule>
  </conditionalFormatting>
  <conditionalFormatting sqref="N14">
    <cfRule type="expression" dxfId="225" priority="37">
      <formula>AND(H15&gt;=1,H15&lt;=7)</formula>
    </cfRule>
  </conditionalFormatting>
  <conditionalFormatting sqref="O14">
    <cfRule type="expression" dxfId="224" priority="36">
      <formula>AND(H15&gt;=1,H15&lt;=7)</formula>
    </cfRule>
  </conditionalFormatting>
  <conditionalFormatting sqref="P14">
    <cfRule type="expression" dxfId="223" priority="35">
      <formula>AND(H15&gt;=1,H15&lt;=7)</formula>
    </cfRule>
  </conditionalFormatting>
  <conditionalFormatting sqref="A15:E15">
    <cfRule type="expression" dxfId="222" priority="34">
      <formula>AND(H15&gt;=1,H15&lt;=7)</formula>
    </cfRule>
  </conditionalFormatting>
  <conditionalFormatting sqref="H15:P15">
    <cfRule type="expression" dxfId="221" priority="33">
      <formula>AND(H15&gt;=1,H15&lt;=7)</formula>
    </cfRule>
  </conditionalFormatting>
  <conditionalFormatting sqref="A17:G17 A18 F18:P18">
    <cfRule type="expression" dxfId="220" priority="32">
      <formula>AND($H19&gt;=1,$H19&lt;=7)</formula>
    </cfRule>
  </conditionalFormatting>
  <conditionalFormatting sqref="A17:F17">
    <cfRule type="expression" dxfId="219" priority="31">
      <formula>AND(H18&gt;=1,H18&lt;=7)</formula>
    </cfRule>
  </conditionalFormatting>
  <conditionalFormatting sqref="G17">
    <cfRule type="expression" dxfId="218" priority="30">
      <formula>AND(H18&gt;=1,H18&lt;=7)</formula>
    </cfRule>
  </conditionalFormatting>
  <conditionalFormatting sqref="A18:E18">
    <cfRule type="expression" dxfId="217" priority="29">
      <formula>AND(H18&gt;=1,H18&lt;=7)</formula>
    </cfRule>
  </conditionalFormatting>
  <conditionalFormatting sqref="H18:P18">
    <cfRule type="expression" dxfId="216" priority="28">
      <formula>AND(H18&gt;=1,H18&lt;=7)</formula>
    </cfRule>
  </conditionalFormatting>
  <conditionalFormatting sqref="A20:G20 A21 F21:P21">
    <cfRule type="expression" dxfId="215" priority="27">
      <formula>AND($H22&gt;=1,$H22&lt;=7)</formula>
    </cfRule>
  </conditionalFormatting>
  <conditionalFormatting sqref="A20:F20">
    <cfRule type="expression" dxfId="214" priority="26">
      <formula>AND(H21&gt;=1,H21&lt;=7)</formula>
    </cfRule>
  </conditionalFormatting>
  <conditionalFormatting sqref="G20">
    <cfRule type="expression" dxfId="213" priority="25">
      <formula>AND(H21&gt;=1,H21&lt;=7)</formula>
    </cfRule>
  </conditionalFormatting>
  <conditionalFormatting sqref="A21:E21">
    <cfRule type="expression" dxfId="212" priority="24">
      <formula>AND(H21&gt;=1,H21&lt;=7)</formula>
    </cfRule>
  </conditionalFormatting>
  <conditionalFormatting sqref="H21:P21">
    <cfRule type="expression" dxfId="211" priority="23">
      <formula>AND(H21&gt;=1,H21&lt;=7)</formula>
    </cfRule>
  </conditionalFormatting>
  <conditionalFormatting sqref="H17:P17">
    <cfRule type="expression" dxfId="210" priority="22">
      <formula>AND($H19&gt;=1,$H19&lt;=7)</formula>
    </cfRule>
  </conditionalFormatting>
  <conditionalFormatting sqref="H17">
    <cfRule type="expression" dxfId="209" priority="21">
      <formula>AND(H18&gt;=1,H18&lt;=7)</formula>
    </cfRule>
  </conditionalFormatting>
  <conditionalFormatting sqref="I17">
    <cfRule type="expression" dxfId="208" priority="20">
      <formula>AND(H18&gt;=1,H18&lt;=7)</formula>
    </cfRule>
  </conditionalFormatting>
  <conditionalFormatting sqref="J17">
    <cfRule type="expression" dxfId="207" priority="19">
      <formula>AND(H18&gt;=1,H18&lt;=7)</formula>
    </cfRule>
  </conditionalFormatting>
  <conditionalFormatting sqref="K17">
    <cfRule type="expression" dxfId="206" priority="18">
      <formula>AND(H18&gt;=1,H18&lt;=7)</formula>
    </cfRule>
  </conditionalFormatting>
  <conditionalFormatting sqref="L17">
    <cfRule type="expression" dxfId="205" priority="17">
      <formula>AND(H18&gt;=1,H18&lt;=7)</formula>
    </cfRule>
  </conditionalFormatting>
  <conditionalFormatting sqref="M17">
    <cfRule type="expression" dxfId="204" priority="16">
      <formula>AND(H18&gt;=1,H18&lt;=7)</formula>
    </cfRule>
  </conditionalFormatting>
  <conditionalFormatting sqref="N17">
    <cfRule type="expression" dxfId="203" priority="15">
      <formula>AND(H18&gt;=1,H18&lt;=7)</formula>
    </cfRule>
  </conditionalFormatting>
  <conditionalFormatting sqref="O17">
    <cfRule type="expression" dxfId="202" priority="14">
      <formula>AND(H18&gt;=1,H18&lt;=7)</formula>
    </cfRule>
  </conditionalFormatting>
  <conditionalFormatting sqref="P17">
    <cfRule type="expression" dxfId="201" priority="13">
      <formula>AND(H18&gt;=1,H18&lt;=7)</formula>
    </cfRule>
  </conditionalFormatting>
  <conditionalFormatting sqref="H20:P20">
    <cfRule type="expression" dxfId="200" priority="12">
      <formula>AND($H22&gt;=1,$H22&lt;=7)</formula>
    </cfRule>
  </conditionalFormatting>
  <conditionalFormatting sqref="H20">
    <cfRule type="expression" dxfId="199" priority="11">
      <formula>AND(H21&gt;=1,H21&lt;=7)</formula>
    </cfRule>
  </conditionalFormatting>
  <conditionalFormatting sqref="I20">
    <cfRule type="expression" dxfId="198" priority="10">
      <formula>AND(H21&gt;=1,H21&lt;=7)</formula>
    </cfRule>
  </conditionalFormatting>
  <conditionalFormatting sqref="J20">
    <cfRule type="expression" dxfId="197" priority="9">
      <formula>AND(H21&gt;=1,H21&lt;=7)</formula>
    </cfRule>
  </conditionalFormatting>
  <conditionalFormatting sqref="K20">
    <cfRule type="expression" dxfId="196" priority="8">
      <formula>AND(H21&gt;=1,H21&lt;=7)</formula>
    </cfRule>
  </conditionalFormatting>
  <conditionalFormatting sqref="L20">
    <cfRule type="expression" dxfId="195" priority="7">
      <formula>AND(H21&gt;=1,H21&lt;=7)</formula>
    </cfRule>
  </conditionalFormatting>
  <conditionalFormatting sqref="M20">
    <cfRule type="expression" dxfId="194" priority="6">
      <formula>AND(H21&gt;=1,H21&lt;=7)</formula>
    </cfRule>
  </conditionalFormatting>
  <conditionalFormatting sqref="N20">
    <cfRule type="expression" dxfId="193" priority="5">
      <formula>AND(H21&gt;=1,H21&lt;=7)</formula>
    </cfRule>
  </conditionalFormatting>
  <conditionalFormatting sqref="O20">
    <cfRule type="expression" dxfId="192" priority="4">
      <formula>AND(H21&gt;=1,H21&lt;=7)</formula>
    </cfRule>
  </conditionalFormatting>
  <conditionalFormatting sqref="P20">
    <cfRule type="expression" dxfId="191" priority="3">
      <formula>AND(H21&gt;=1,H21&lt;=7)</formula>
    </cfRule>
  </conditionalFormatting>
  <conditionalFormatting sqref="A14:F14">
    <cfRule type="expression" dxfId="190" priority="2">
      <formula>AND($H16&gt;=1,$H16&lt;=7)</formula>
    </cfRule>
  </conditionalFormatting>
  <conditionalFormatting sqref="A14:F14">
    <cfRule type="expression" dxfId="18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9218"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137"/>
  <sheetViews>
    <sheetView showGridLines="0" workbookViewId="0">
      <selection activeCell="H11" sqref="H11"/>
    </sheetView>
  </sheetViews>
  <sheetFormatPr defaultRowHeight="15" x14ac:dyDescent="0.25"/>
  <cols>
    <col min="16" max="16" width="12.7109375" bestFit="1" customWidth="1"/>
  </cols>
  <sheetData>
    <row r="1" spans="1:16" x14ac:dyDescent="0.25">
      <c r="A1" s="75" t="s">
        <v>42</v>
      </c>
      <c r="B1" s="75"/>
      <c r="C1" s="37">
        <f>Timings!$B$6</f>
        <v>8.1018518518518516E-4</v>
      </c>
      <c r="D1" s="36"/>
      <c r="E1" s="35"/>
      <c r="F1" s="35"/>
      <c r="G1" s="35"/>
      <c r="H1" s="35"/>
      <c r="I1" s="35"/>
      <c r="J1" s="35"/>
      <c r="K1" s="35"/>
      <c r="L1" s="35"/>
      <c r="M1" s="35"/>
      <c r="N1" s="75" t="s">
        <v>43</v>
      </c>
      <c r="O1" s="75"/>
      <c r="P1" s="37">
        <f ca="1">IF(Welcome!$B$4&lt;&gt;"",IF(Welcome!$B$5="",NOW()-Welcome!$B$4,Welcome!$B$6),"")</f>
        <v>1.9004629633855075E-2</v>
      </c>
    </row>
    <row r="2" spans="1:16" x14ac:dyDescent="0.25">
      <c r="A2" s="52" t="str">
        <f>ExpectationRating!A43</f>
        <v>Task6: The Sensor class has the car_at_gate attribute with the type of bool. Change the car_at_gate attribute’s type from bool to int and find any inconsistencies it may occur.</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ExpectationRating!I47</f>
        <v>2</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4</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0</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0</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0</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B1"/>
    <mergeCell ref="N1:O1"/>
    <mergeCell ref="A8:P8"/>
    <mergeCell ref="A5:F5"/>
    <mergeCell ref="F6:G6"/>
    <mergeCell ref="H6:P6"/>
    <mergeCell ref="A2:P4"/>
  </mergeCells>
  <conditionalFormatting sqref="A8:P9 A10 F10:P10">
    <cfRule type="expression" dxfId="188" priority="61">
      <formula>AND($H10&gt;=1,$H10&lt;=7)</formula>
    </cfRule>
  </conditionalFormatting>
  <conditionalFormatting sqref="A9:F9">
    <cfRule type="expression" dxfId="187" priority="60">
      <formula>AND(H10&gt;=1,H10&lt;=7)</formula>
    </cfRule>
  </conditionalFormatting>
  <conditionalFormatting sqref="G9">
    <cfRule type="expression" dxfId="186" priority="59">
      <formula>AND(H10&gt;=1,H10&lt;=7)</formula>
    </cfRule>
  </conditionalFormatting>
  <conditionalFormatting sqref="H9">
    <cfRule type="expression" dxfId="185" priority="58">
      <formula>AND(H10&gt;=1,H10&lt;=7)</formula>
    </cfRule>
  </conditionalFormatting>
  <conditionalFormatting sqref="I9">
    <cfRule type="expression" dxfId="184" priority="57">
      <formula>AND(H10&gt;=1,H10&lt;=7)</formula>
    </cfRule>
  </conditionalFormatting>
  <conditionalFormatting sqref="J9">
    <cfRule type="expression" dxfId="183" priority="56">
      <formula>AND(H10&gt;=1,H10&lt;=7)</formula>
    </cfRule>
  </conditionalFormatting>
  <conditionalFormatting sqref="K9">
    <cfRule type="expression" dxfId="182" priority="55">
      <formula>AND(H10&gt;=1,H10&lt;=7)</formula>
    </cfRule>
  </conditionalFormatting>
  <conditionalFormatting sqref="L9">
    <cfRule type="expression" dxfId="181" priority="54">
      <formula>AND(H10&gt;=1,H10&lt;=7)</formula>
    </cfRule>
  </conditionalFormatting>
  <conditionalFormatting sqref="M9">
    <cfRule type="expression" dxfId="180" priority="53">
      <formula>AND(H10&gt;=1,H10&lt;=7)</formula>
    </cfRule>
  </conditionalFormatting>
  <conditionalFormatting sqref="N9">
    <cfRule type="expression" dxfId="179" priority="52">
      <formula>AND(H10&gt;=1,H10&lt;=7)</formula>
    </cfRule>
  </conditionalFormatting>
  <conditionalFormatting sqref="O9">
    <cfRule type="expression" dxfId="178" priority="51">
      <formula>AND(H10&gt;=1,H10&lt;=7)</formula>
    </cfRule>
  </conditionalFormatting>
  <conditionalFormatting sqref="P9">
    <cfRule type="expression" dxfId="177" priority="50">
      <formula>AND(H10&gt;=1,H10&lt;=7)</formula>
    </cfRule>
  </conditionalFormatting>
  <conditionalFormatting sqref="A10:E10">
    <cfRule type="expression" dxfId="176" priority="49">
      <formula>AND(H10&gt;=1,H10&lt;=7)</formula>
    </cfRule>
  </conditionalFormatting>
  <conditionalFormatting sqref="H10:P10">
    <cfRule type="expression" dxfId="175" priority="48">
      <formula>AND(H10&gt;=1,H10&lt;=7)</formula>
    </cfRule>
  </conditionalFormatting>
  <conditionalFormatting sqref="A12:P12">
    <cfRule type="expression" dxfId="174" priority="47">
      <formula>AND($H14&gt;=1,$H14&lt;=7)</formula>
    </cfRule>
  </conditionalFormatting>
  <conditionalFormatting sqref="G14:P14 A15 F15:P15">
    <cfRule type="expression" dxfId="173" priority="46">
      <formula>AND($H16&gt;=1,$H16&lt;=7)</formula>
    </cfRule>
  </conditionalFormatting>
  <conditionalFormatting sqref="G14">
    <cfRule type="expression" dxfId="172" priority="44">
      <formula>AND(H15&gt;=1,H15&lt;=7)</formula>
    </cfRule>
  </conditionalFormatting>
  <conditionalFormatting sqref="H14">
    <cfRule type="expression" dxfId="171" priority="43">
      <formula>AND(H15&gt;=1,H15&lt;=7)</formula>
    </cfRule>
  </conditionalFormatting>
  <conditionalFormatting sqref="I14">
    <cfRule type="expression" dxfId="170" priority="42">
      <formula>AND(H15&gt;=1,H15&lt;=7)</formula>
    </cfRule>
  </conditionalFormatting>
  <conditionalFormatting sqref="J14">
    <cfRule type="expression" dxfId="169" priority="41">
      <formula>AND(H15&gt;=1,H15&lt;=7)</formula>
    </cfRule>
  </conditionalFormatting>
  <conditionalFormatting sqref="K14">
    <cfRule type="expression" dxfId="168" priority="40">
      <formula>AND(H15&gt;=1,H15&lt;=7)</formula>
    </cfRule>
  </conditionalFormatting>
  <conditionalFormatting sqref="L14">
    <cfRule type="expression" dxfId="167" priority="39">
      <formula>AND(H15&gt;=1,H15&lt;=7)</formula>
    </cfRule>
  </conditionalFormatting>
  <conditionalFormatting sqref="M14">
    <cfRule type="expression" dxfId="166" priority="38">
      <formula>AND(H15&gt;=1,H15&lt;=7)</formula>
    </cfRule>
  </conditionalFormatting>
  <conditionalFormatting sqref="N14">
    <cfRule type="expression" dxfId="165" priority="37">
      <formula>AND(H15&gt;=1,H15&lt;=7)</formula>
    </cfRule>
  </conditionalFormatting>
  <conditionalFormatting sqref="O14">
    <cfRule type="expression" dxfId="164" priority="36">
      <formula>AND(H15&gt;=1,H15&lt;=7)</formula>
    </cfRule>
  </conditionalFormatting>
  <conditionalFormatting sqref="P14">
    <cfRule type="expression" dxfId="163" priority="35">
      <formula>AND(H15&gt;=1,H15&lt;=7)</formula>
    </cfRule>
  </conditionalFormatting>
  <conditionalFormatting sqref="A15:E15">
    <cfRule type="expression" dxfId="162" priority="34">
      <formula>AND(H15&gt;=1,H15&lt;=7)</formula>
    </cfRule>
  </conditionalFormatting>
  <conditionalFormatting sqref="H15:P15">
    <cfRule type="expression" dxfId="161" priority="33">
      <formula>AND(H15&gt;=1,H15&lt;=7)</formula>
    </cfRule>
  </conditionalFormatting>
  <conditionalFormatting sqref="A17:G17 A18 F18:P18">
    <cfRule type="expression" dxfId="160" priority="32">
      <formula>AND($H19&gt;=1,$H19&lt;=7)</formula>
    </cfRule>
  </conditionalFormatting>
  <conditionalFormatting sqref="A17:F17">
    <cfRule type="expression" dxfId="159" priority="31">
      <formula>AND(H18&gt;=1,H18&lt;=7)</formula>
    </cfRule>
  </conditionalFormatting>
  <conditionalFormatting sqref="G17">
    <cfRule type="expression" dxfId="158" priority="30">
      <formula>AND(H18&gt;=1,H18&lt;=7)</formula>
    </cfRule>
  </conditionalFormatting>
  <conditionalFormatting sqref="A18:E18">
    <cfRule type="expression" dxfId="157" priority="29">
      <formula>AND(H18&gt;=1,H18&lt;=7)</formula>
    </cfRule>
  </conditionalFormatting>
  <conditionalFormatting sqref="H18:P18">
    <cfRule type="expression" dxfId="156" priority="28">
      <formula>AND(H18&gt;=1,H18&lt;=7)</formula>
    </cfRule>
  </conditionalFormatting>
  <conditionalFormatting sqref="A20:G20 A21 F21:P21">
    <cfRule type="expression" dxfId="155" priority="27">
      <formula>AND($H22&gt;=1,$H22&lt;=7)</formula>
    </cfRule>
  </conditionalFormatting>
  <conditionalFormatting sqref="A20:F20">
    <cfRule type="expression" dxfId="154" priority="26">
      <formula>AND(H21&gt;=1,H21&lt;=7)</formula>
    </cfRule>
  </conditionalFormatting>
  <conditionalFormatting sqref="G20">
    <cfRule type="expression" dxfId="153" priority="25">
      <formula>AND(H21&gt;=1,H21&lt;=7)</formula>
    </cfRule>
  </conditionalFormatting>
  <conditionalFormatting sqref="A21:E21">
    <cfRule type="expression" dxfId="152" priority="24">
      <formula>AND(H21&gt;=1,H21&lt;=7)</formula>
    </cfRule>
  </conditionalFormatting>
  <conditionalFormatting sqref="H21:P21">
    <cfRule type="expression" dxfId="151" priority="23">
      <formula>AND(H21&gt;=1,H21&lt;=7)</formula>
    </cfRule>
  </conditionalFormatting>
  <conditionalFormatting sqref="H17:P17">
    <cfRule type="expression" dxfId="150" priority="22">
      <formula>AND($H19&gt;=1,$H19&lt;=7)</formula>
    </cfRule>
  </conditionalFormatting>
  <conditionalFormatting sqref="H17">
    <cfRule type="expression" dxfId="149" priority="21">
      <formula>AND(H18&gt;=1,H18&lt;=7)</formula>
    </cfRule>
  </conditionalFormatting>
  <conditionalFormatting sqref="I17">
    <cfRule type="expression" dxfId="148" priority="20">
      <formula>AND(H18&gt;=1,H18&lt;=7)</formula>
    </cfRule>
  </conditionalFormatting>
  <conditionalFormatting sqref="J17">
    <cfRule type="expression" dxfId="147" priority="19">
      <formula>AND(H18&gt;=1,H18&lt;=7)</formula>
    </cfRule>
  </conditionalFormatting>
  <conditionalFormatting sqref="K17">
    <cfRule type="expression" dxfId="146" priority="18">
      <formula>AND(H18&gt;=1,H18&lt;=7)</formula>
    </cfRule>
  </conditionalFormatting>
  <conditionalFormatting sqref="L17">
    <cfRule type="expression" dxfId="145" priority="17">
      <formula>AND(H18&gt;=1,H18&lt;=7)</formula>
    </cfRule>
  </conditionalFormatting>
  <conditionalFormatting sqref="M17">
    <cfRule type="expression" dxfId="144" priority="16">
      <formula>AND(H18&gt;=1,H18&lt;=7)</formula>
    </cfRule>
  </conditionalFormatting>
  <conditionalFormatting sqref="N17">
    <cfRule type="expression" dxfId="143" priority="15">
      <formula>AND(H18&gt;=1,H18&lt;=7)</formula>
    </cfRule>
  </conditionalFormatting>
  <conditionalFormatting sqref="O17">
    <cfRule type="expression" dxfId="142" priority="14">
      <formula>AND(H18&gt;=1,H18&lt;=7)</formula>
    </cfRule>
  </conditionalFormatting>
  <conditionalFormatting sqref="P17">
    <cfRule type="expression" dxfId="141" priority="13">
      <formula>AND(H18&gt;=1,H18&lt;=7)</formula>
    </cfRule>
  </conditionalFormatting>
  <conditionalFormatting sqref="H20:P20">
    <cfRule type="expression" dxfId="140" priority="12">
      <formula>AND($H22&gt;=1,$H22&lt;=7)</formula>
    </cfRule>
  </conditionalFormatting>
  <conditionalFormatting sqref="H20">
    <cfRule type="expression" dxfId="139" priority="11">
      <formula>AND(H21&gt;=1,H21&lt;=7)</formula>
    </cfRule>
  </conditionalFormatting>
  <conditionalFormatting sqref="I20">
    <cfRule type="expression" dxfId="138" priority="10">
      <formula>AND(H21&gt;=1,H21&lt;=7)</formula>
    </cfRule>
  </conditionalFormatting>
  <conditionalFormatting sqref="J20">
    <cfRule type="expression" dxfId="137" priority="9">
      <formula>AND(H21&gt;=1,H21&lt;=7)</formula>
    </cfRule>
  </conditionalFormatting>
  <conditionalFormatting sqref="K20">
    <cfRule type="expression" dxfId="136" priority="8">
      <formula>AND(H21&gt;=1,H21&lt;=7)</formula>
    </cfRule>
  </conditionalFormatting>
  <conditionalFormatting sqref="L20">
    <cfRule type="expression" dxfId="135" priority="7">
      <formula>AND(H21&gt;=1,H21&lt;=7)</formula>
    </cfRule>
  </conditionalFormatting>
  <conditionalFormatting sqref="M20">
    <cfRule type="expression" dxfId="134" priority="6">
      <formula>AND(H21&gt;=1,H21&lt;=7)</formula>
    </cfRule>
  </conditionalFormatting>
  <conditionalFormatting sqref="N20">
    <cfRule type="expression" dxfId="133" priority="5">
      <formula>AND(H21&gt;=1,H21&lt;=7)</formula>
    </cfRule>
  </conditionalFormatting>
  <conditionalFormatting sqref="O20">
    <cfRule type="expression" dxfId="132" priority="4">
      <formula>AND(H21&gt;=1,H21&lt;=7)</formula>
    </cfRule>
  </conditionalFormatting>
  <conditionalFormatting sqref="P20">
    <cfRule type="expression" dxfId="131" priority="3">
      <formula>AND(H21&gt;=1,H21&lt;=7)</formula>
    </cfRule>
  </conditionalFormatting>
  <conditionalFormatting sqref="A14:F14">
    <cfRule type="expression" dxfId="130" priority="2">
      <formula>AND($H16&gt;=1,$H16&lt;=7)</formula>
    </cfRule>
  </conditionalFormatting>
  <conditionalFormatting sqref="A14:F14">
    <cfRule type="expression" dxfId="12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P139"/>
  <sheetViews>
    <sheetView showGridLines="0" workbookViewId="0">
      <selection activeCell="H13" sqref="H13"/>
    </sheetView>
  </sheetViews>
  <sheetFormatPr defaultRowHeight="15" x14ac:dyDescent="0.25"/>
  <cols>
    <col min="16" max="16" width="12.7109375" bestFit="1" customWidth="1"/>
  </cols>
  <sheetData>
    <row r="1" spans="1:16" x14ac:dyDescent="0.25">
      <c r="A1" s="75" t="s">
        <v>42</v>
      </c>
      <c r="B1" s="75"/>
      <c r="C1" s="37">
        <f>Timings!$B$7</f>
        <v>1.6435185185185183E-3</v>
      </c>
      <c r="D1" s="36"/>
      <c r="E1" s="35"/>
      <c r="F1" s="35"/>
      <c r="G1" s="35"/>
      <c r="H1" s="35"/>
      <c r="I1" s="35"/>
      <c r="J1" s="35"/>
      <c r="K1" s="35"/>
      <c r="L1" s="35"/>
      <c r="M1" s="35"/>
      <c r="N1" s="75" t="s">
        <v>43</v>
      </c>
      <c r="O1" s="75"/>
      <c r="P1" s="37">
        <f ca="1">IF(Welcome!$B$4&lt;&gt;"",IF(Welcome!$B$5="",NOW()-Welcome!$B$4,Welcome!$B$6),"")</f>
        <v>1.9004629633855075E-2</v>
      </c>
    </row>
    <row r="2" spans="1:16" ht="15" customHeight="1" x14ac:dyDescent="0.25">
      <c r="A2" s="82" t="str">
        <f>ExpectationRating!A50</f>
        <v>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v>
      </c>
      <c r="B2" s="82"/>
      <c r="C2" s="82"/>
      <c r="D2" s="82"/>
      <c r="E2" s="82"/>
      <c r="F2" s="82"/>
      <c r="G2" s="82"/>
      <c r="H2" s="82"/>
      <c r="I2" s="82"/>
      <c r="J2" s="82"/>
      <c r="K2" s="82"/>
      <c r="L2" s="82"/>
      <c r="M2" s="82"/>
      <c r="N2" s="82"/>
      <c r="O2" s="82"/>
      <c r="P2" s="82"/>
    </row>
    <row r="3" spans="1:16" ht="15" customHeight="1" x14ac:dyDescent="0.25">
      <c r="A3" s="83"/>
      <c r="B3" s="83"/>
      <c r="C3" s="83"/>
      <c r="D3" s="83"/>
      <c r="E3" s="83"/>
      <c r="F3" s="83"/>
      <c r="G3" s="83"/>
      <c r="H3" s="83"/>
      <c r="I3" s="83"/>
      <c r="J3" s="83"/>
      <c r="K3" s="83"/>
      <c r="L3" s="83"/>
      <c r="M3" s="83"/>
      <c r="N3" s="83"/>
      <c r="O3" s="83"/>
      <c r="P3" s="83"/>
    </row>
    <row r="4" spans="1:16" ht="15.75" customHeight="1" x14ac:dyDescent="0.25">
      <c r="A4" s="83"/>
      <c r="B4" s="83"/>
      <c r="C4" s="83"/>
      <c r="D4" s="83"/>
      <c r="E4" s="83"/>
      <c r="F4" s="83"/>
      <c r="G4" s="83"/>
      <c r="H4" s="83"/>
      <c r="I4" s="83"/>
      <c r="J4" s="83"/>
      <c r="K4" s="83"/>
      <c r="L4" s="83"/>
      <c r="M4" s="83"/>
      <c r="N4" s="83"/>
      <c r="O4" s="83"/>
      <c r="P4" s="83"/>
    </row>
    <row r="5" spans="1:16" ht="15" customHeight="1" x14ac:dyDescent="0.25">
      <c r="A5" s="83"/>
      <c r="B5" s="83"/>
      <c r="C5" s="83"/>
      <c r="D5" s="83"/>
      <c r="E5" s="83"/>
      <c r="F5" s="83"/>
      <c r="G5" s="83"/>
      <c r="H5" s="83"/>
      <c r="I5" s="83"/>
      <c r="J5" s="83"/>
      <c r="K5" s="83"/>
      <c r="L5" s="83"/>
      <c r="M5" s="83"/>
      <c r="N5" s="83"/>
      <c r="O5" s="83"/>
      <c r="P5" s="83"/>
    </row>
    <row r="6" spans="1:16" ht="15" customHeight="1" x14ac:dyDescent="0.25">
      <c r="A6" s="83"/>
      <c r="B6" s="83"/>
      <c r="C6" s="83"/>
      <c r="D6" s="83"/>
      <c r="E6" s="83"/>
      <c r="F6" s="83"/>
      <c r="G6" s="83"/>
      <c r="H6" s="83"/>
      <c r="I6" s="83"/>
      <c r="J6" s="83"/>
      <c r="K6" s="83"/>
      <c r="L6" s="83"/>
      <c r="M6" s="83"/>
      <c r="N6" s="83"/>
      <c r="O6" s="83"/>
      <c r="P6" s="83"/>
    </row>
    <row r="7" spans="1:16" ht="15" customHeight="1" x14ac:dyDescent="0.25">
      <c r="A7" s="76" t="s">
        <v>1</v>
      </c>
      <c r="B7" s="76"/>
      <c r="C7" s="76"/>
      <c r="D7" s="76"/>
      <c r="E7" s="76"/>
      <c r="F7" s="76"/>
      <c r="G7" s="9"/>
      <c r="H7" s="10" t="s">
        <v>2</v>
      </c>
      <c r="I7" s="11">
        <v>1</v>
      </c>
      <c r="J7" s="11">
        <v>2</v>
      </c>
      <c r="K7" s="11">
        <v>3</v>
      </c>
      <c r="L7" s="11">
        <v>4</v>
      </c>
      <c r="M7" s="11">
        <v>5</v>
      </c>
      <c r="N7" s="11">
        <v>6</v>
      </c>
      <c r="O7" s="11">
        <v>7</v>
      </c>
      <c r="P7" s="9" t="s">
        <v>3</v>
      </c>
    </row>
    <row r="8" spans="1:16" ht="15" customHeight="1" x14ac:dyDescent="0.25">
      <c r="A8" s="10"/>
      <c r="B8" s="10"/>
      <c r="C8" s="10"/>
      <c r="D8" s="10"/>
      <c r="E8" s="10"/>
      <c r="F8" s="76" t="s">
        <v>7</v>
      </c>
      <c r="G8" s="77"/>
      <c r="H8" s="81">
        <f>ExpectationRating!I54</f>
        <v>3</v>
      </c>
      <c r="I8" s="81"/>
      <c r="J8" s="81"/>
      <c r="K8" s="81"/>
      <c r="L8" s="81"/>
      <c r="M8" s="81"/>
      <c r="N8" s="81"/>
      <c r="O8" s="81"/>
      <c r="P8" s="81"/>
    </row>
    <row r="9" spans="1:16" ht="15" customHeight="1" x14ac:dyDescent="0.25">
      <c r="A9" s="3"/>
      <c r="B9" s="3"/>
      <c r="C9" s="3"/>
      <c r="D9" s="3"/>
      <c r="E9" s="3"/>
      <c r="F9" s="3"/>
      <c r="G9" s="3"/>
      <c r="H9" s="3"/>
      <c r="I9" s="3"/>
      <c r="J9" s="3"/>
      <c r="K9" s="3"/>
      <c r="L9" s="3"/>
      <c r="M9" s="3"/>
      <c r="N9" s="3"/>
      <c r="O9" s="3"/>
    </row>
    <row r="10" spans="1:16" ht="15" customHeight="1" x14ac:dyDescent="0.25">
      <c r="A10" s="67" t="s">
        <v>9</v>
      </c>
      <c r="B10" s="67"/>
      <c r="C10" s="67"/>
      <c r="D10" s="67"/>
      <c r="E10" s="67"/>
      <c r="F10" s="67"/>
      <c r="G10" s="67"/>
      <c r="H10" s="67"/>
      <c r="I10" s="67"/>
      <c r="J10" s="67"/>
      <c r="K10" s="67"/>
      <c r="L10" s="67"/>
      <c r="M10" s="67"/>
      <c r="N10" s="67"/>
      <c r="O10" s="67"/>
      <c r="P10" s="67"/>
    </row>
    <row r="11" spans="1:16" s="5" customFormat="1" ht="32.25" customHeight="1" x14ac:dyDescent="0.25">
      <c r="A11" s="70" t="s">
        <v>8</v>
      </c>
      <c r="B11" s="70"/>
      <c r="C11" s="70"/>
      <c r="D11" s="70"/>
      <c r="E11" s="70"/>
      <c r="F11" s="70"/>
      <c r="G11" s="12"/>
      <c r="H11" s="6" t="s">
        <v>2</v>
      </c>
      <c r="I11" s="6">
        <v>1</v>
      </c>
      <c r="J11" s="6">
        <v>2</v>
      </c>
      <c r="K11" s="6">
        <v>3</v>
      </c>
      <c r="L11" s="6">
        <v>4</v>
      </c>
      <c r="M11" s="6">
        <v>5</v>
      </c>
      <c r="N11" s="6">
        <v>6</v>
      </c>
      <c r="O11" s="6">
        <v>7</v>
      </c>
      <c r="P11" s="6" t="s">
        <v>3</v>
      </c>
    </row>
    <row r="12" spans="1:16" ht="15.75" x14ac:dyDescent="0.25">
      <c r="A12" s="63"/>
      <c r="B12" s="63"/>
      <c r="C12" s="63"/>
      <c r="D12" s="63"/>
      <c r="E12" s="63"/>
      <c r="F12" s="55" t="s">
        <v>4</v>
      </c>
      <c r="G12" s="56"/>
      <c r="H12" s="74">
        <v>6</v>
      </c>
      <c r="I12" s="74"/>
      <c r="J12" s="74"/>
      <c r="K12" s="74"/>
      <c r="L12" s="74"/>
      <c r="M12" s="74"/>
      <c r="N12" s="74"/>
      <c r="O12" s="74"/>
      <c r="P12" s="74"/>
    </row>
    <row r="13" spans="1:16" x14ac:dyDescent="0.25">
      <c r="A13" s="3"/>
      <c r="B13" s="3"/>
      <c r="C13" s="3"/>
      <c r="D13" s="3"/>
      <c r="E13" s="3"/>
      <c r="F13" s="3"/>
      <c r="G13" s="3"/>
      <c r="H13" s="3"/>
      <c r="I13" s="3"/>
      <c r="J13" s="3"/>
      <c r="K13" s="3"/>
      <c r="L13" s="3"/>
      <c r="M13" s="3"/>
      <c r="N13" s="3"/>
      <c r="O13" s="3"/>
      <c r="P13" s="3"/>
    </row>
    <row r="14" spans="1:16" ht="15.75" x14ac:dyDescent="0.25">
      <c r="A14" s="67" t="s">
        <v>10</v>
      </c>
      <c r="B14" s="67"/>
      <c r="C14" s="67"/>
      <c r="D14" s="67"/>
      <c r="E14" s="67"/>
      <c r="F14" s="67"/>
      <c r="G14" s="67"/>
      <c r="H14" s="67"/>
      <c r="I14" s="67"/>
      <c r="J14" s="67"/>
      <c r="K14" s="67"/>
      <c r="L14" s="67"/>
      <c r="M14" s="67"/>
      <c r="N14" s="67"/>
      <c r="O14" s="67"/>
      <c r="P14" s="67"/>
    </row>
    <row r="15" spans="1:16" ht="25.5" customHeight="1" x14ac:dyDescent="0.25">
      <c r="A15" s="69" t="s">
        <v>13</v>
      </c>
      <c r="B15" s="69"/>
      <c r="C15" s="69"/>
      <c r="D15" s="69"/>
      <c r="E15" s="69"/>
      <c r="F15" s="69"/>
      <c r="G15" s="69"/>
      <c r="H15" s="69"/>
      <c r="I15" s="69"/>
      <c r="J15" s="69"/>
      <c r="K15" s="69"/>
      <c r="L15" s="69"/>
      <c r="M15" s="69"/>
      <c r="N15" s="69"/>
      <c r="O15" s="69"/>
      <c r="P15" s="69"/>
    </row>
    <row r="16" spans="1:16" ht="30" customHeight="1" x14ac:dyDescent="0.25">
      <c r="A16" s="68" t="s">
        <v>64</v>
      </c>
      <c r="B16" s="68"/>
      <c r="C16" s="68"/>
      <c r="D16" s="68"/>
      <c r="E16" s="68"/>
      <c r="F16" s="68"/>
      <c r="G16" s="13"/>
      <c r="H16" s="15" t="s">
        <v>5</v>
      </c>
      <c r="I16" s="14">
        <v>1</v>
      </c>
      <c r="J16" s="14">
        <v>2</v>
      </c>
      <c r="K16" s="14">
        <v>3</v>
      </c>
      <c r="L16" s="14">
        <v>4</v>
      </c>
      <c r="M16" s="14">
        <v>5</v>
      </c>
      <c r="N16" s="14">
        <v>6</v>
      </c>
      <c r="O16" s="14">
        <v>7</v>
      </c>
      <c r="P16" s="15" t="s">
        <v>6</v>
      </c>
    </row>
    <row r="17" spans="1:16" ht="15" customHeight="1" x14ac:dyDescent="0.25">
      <c r="A17" s="63"/>
      <c r="B17" s="63"/>
      <c r="C17" s="63"/>
      <c r="D17" s="63"/>
      <c r="E17" s="63"/>
      <c r="F17" s="55" t="s">
        <v>4</v>
      </c>
      <c r="G17" s="56"/>
      <c r="H17" s="74">
        <v>0</v>
      </c>
      <c r="I17" s="74"/>
      <c r="J17" s="74"/>
      <c r="K17" s="74"/>
      <c r="L17" s="74"/>
      <c r="M17" s="74"/>
      <c r="N17" s="74"/>
      <c r="O17" s="74"/>
      <c r="P17" s="74"/>
    </row>
    <row r="18" spans="1:16" ht="15" customHeight="1" x14ac:dyDescent="0.25">
      <c r="A18" s="3"/>
      <c r="B18" s="3"/>
      <c r="C18" s="3"/>
      <c r="D18" s="3"/>
      <c r="E18" s="3"/>
      <c r="F18" s="3"/>
      <c r="G18" s="3"/>
      <c r="H18" s="3"/>
      <c r="I18" s="3"/>
      <c r="J18" s="3"/>
      <c r="K18" s="3"/>
      <c r="L18" s="3"/>
      <c r="M18" s="3"/>
      <c r="N18" s="3"/>
      <c r="O18" s="3"/>
    </row>
    <row r="19" spans="1:16" ht="33" customHeight="1" x14ac:dyDescent="0.25">
      <c r="A19" s="68" t="s">
        <v>11</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0</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c r="P21" s="3"/>
    </row>
    <row r="22" spans="1:16" ht="31.5" customHeight="1" x14ac:dyDescent="0.25">
      <c r="A22" s="68" t="s">
        <v>12</v>
      </c>
      <c r="B22" s="68"/>
      <c r="C22" s="68"/>
      <c r="D22" s="68"/>
      <c r="E22" s="68"/>
      <c r="F22" s="68"/>
      <c r="G22" s="13"/>
      <c r="H22" s="15" t="s">
        <v>5</v>
      </c>
      <c r="I22" s="14">
        <v>1</v>
      </c>
      <c r="J22" s="14">
        <v>2</v>
      </c>
      <c r="K22" s="14">
        <v>3</v>
      </c>
      <c r="L22" s="14">
        <v>4</v>
      </c>
      <c r="M22" s="14">
        <v>5</v>
      </c>
      <c r="N22" s="14">
        <v>6</v>
      </c>
      <c r="O22" s="14">
        <v>7</v>
      </c>
      <c r="P22" s="15" t="s">
        <v>6</v>
      </c>
    </row>
    <row r="23" spans="1:16" ht="15.75" x14ac:dyDescent="0.25">
      <c r="A23" s="63"/>
      <c r="B23" s="63"/>
      <c r="C23" s="63"/>
      <c r="D23" s="63"/>
      <c r="E23" s="63"/>
      <c r="F23" s="55" t="s">
        <v>4</v>
      </c>
      <c r="G23" s="56"/>
      <c r="H23" s="74">
        <v>0</v>
      </c>
      <c r="I23" s="74"/>
      <c r="J23" s="74"/>
      <c r="K23" s="74"/>
      <c r="L23" s="74"/>
      <c r="M23" s="74"/>
      <c r="N23" s="74"/>
      <c r="O23" s="74"/>
      <c r="P23" s="74"/>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9" spans="1:16" ht="15" customHeight="1" x14ac:dyDescent="0.25">
      <c r="A29" s="3"/>
      <c r="B29" s="3"/>
      <c r="C29" s="3"/>
      <c r="D29" s="3"/>
      <c r="E29" s="3"/>
      <c r="F29" s="3"/>
      <c r="G29" s="3"/>
      <c r="H29" s="3"/>
      <c r="I29" s="3"/>
      <c r="J29" s="3"/>
      <c r="K29" s="3"/>
      <c r="L29" s="3"/>
      <c r="M29" s="3"/>
      <c r="N29" s="3"/>
      <c r="O29" s="3"/>
      <c r="P29" s="3"/>
    </row>
    <row r="30" spans="1:16" ht="15" customHeight="1" x14ac:dyDescent="0.25">
      <c r="A30" s="3"/>
      <c r="B30" s="3"/>
      <c r="C30" s="3"/>
      <c r="D30" s="3"/>
      <c r="E30" s="3"/>
      <c r="F30" s="3"/>
      <c r="G30" s="3"/>
      <c r="H30" s="3"/>
      <c r="I30" s="3"/>
      <c r="J30" s="3"/>
      <c r="K30" s="3"/>
      <c r="L30" s="3"/>
      <c r="M30" s="3"/>
      <c r="N30" s="3"/>
      <c r="O30" s="3"/>
      <c r="P30" s="3"/>
    </row>
    <row r="31" spans="1:16" ht="21.75" customHeight="1" x14ac:dyDescent="0.25">
      <c r="A31" s="3"/>
      <c r="B31" s="3"/>
      <c r="C31" s="3"/>
      <c r="D31" s="3"/>
      <c r="E31" s="3"/>
      <c r="F31" s="3"/>
      <c r="G31" s="3"/>
      <c r="H31" s="3"/>
      <c r="I31" s="3"/>
      <c r="J31" s="3"/>
      <c r="K31" s="3"/>
      <c r="L31" s="3"/>
      <c r="M31" s="3"/>
      <c r="N31" s="3"/>
      <c r="O31" s="3"/>
      <c r="P31" s="3"/>
    </row>
    <row r="32" spans="1:16" ht="25.5" customHeight="1" x14ac:dyDescent="0.25"/>
    <row r="33" spans="1:16" ht="38.25" customHeight="1" x14ac:dyDescent="0.25">
      <c r="A33" s="3"/>
      <c r="B33" s="3"/>
      <c r="C33" s="3"/>
      <c r="D33" s="3"/>
      <c r="E33" s="3"/>
      <c r="F33" s="3"/>
    </row>
    <row r="34" spans="1:16" ht="35.25" customHeight="1" x14ac:dyDescent="0.25">
      <c r="F34" s="3"/>
      <c r="G34" s="3"/>
      <c r="H34" s="3"/>
      <c r="I34" s="3"/>
      <c r="J34" s="3"/>
      <c r="K34" s="3"/>
      <c r="L34" s="3"/>
      <c r="M34" s="3"/>
      <c r="N34" s="3"/>
      <c r="O34" s="3"/>
      <c r="P34" s="3"/>
    </row>
    <row r="35" spans="1:16" ht="15" customHeight="1"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row>
    <row r="41" spans="1:16" x14ac:dyDescent="0.25">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6" spans="1:16" x14ac:dyDescent="0.25">
      <c r="A56" s="3"/>
      <c r="B56" s="3"/>
      <c r="C56" s="3"/>
      <c r="D56" s="3"/>
      <c r="E56" s="3"/>
      <c r="F56" s="3"/>
    </row>
    <row r="57" spans="1:16" x14ac:dyDescent="0.25">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c r="P61" s="3"/>
    </row>
    <row r="62" spans="1:16" x14ac:dyDescent="0.25">
      <c r="A62" s="3"/>
      <c r="B62" s="3"/>
      <c r="C62" s="3"/>
      <c r="D62" s="3"/>
      <c r="E62" s="3"/>
      <c r="F62" s="3"/>
    </row>
    <row r="63" spans="1:16" x14ac:dyDescent="0.25">
      <c r="F63" s="3"/>
      <c r="G63" s="3"/>
      <c r="H63" s="3"/>
      <c r="I63" s="3"/>
      <c r="J63" s="3"/>
      <c r="K63" s="3"/>
      <c r="L63" s="3"/>
      <c r="M63" s="3"/>
      <c r="N63" s="3"/>
      <c r="O63" s="3"/>
      <c r="P63" s="3"/>
    </row>
    <row r="64" spans="1:16" x14ac:dyDescent="0.25">
      <c r="A64" s="3"/>
      <c r="B64" s="3"/>
      <c r="C64" s="3"/>
      <c r="D64" s="3"/>
      <c r="E64" s="3"/>
      <c r="F64" s="3"/>
      <c r="G64" s="3"/>
      <c r="H64" s="3"/>
      <c r="I64" s="3"/>
      <c r="J64" s="3"/>
      <c r="K64" s="3"/>
      <c r="L64" s="3"/>
      <c r="M64" s="3"/>
      <c r="N64" s="3"/>
      <c r="O64" s="3"/>
    </row>
    <row r="68" spans="1:16" x14ac:dyDescent="0.25">
      <c r="A68" s="3"/>
      <c r="B68" s="3"/>
      <c r="C68" s="3"/>
      <c r="D68" s="3"/>
      <c r="E68" s="3"/>
      <c r="F68" s="3"/>
    </row>
    <row r="69" spans="1:16" x14ac:dyDescent="0.25">
      <c r="F69" s="3"/>
      <c r="G69" s="3"/>
      <c r="H69" s="3"/>
      <c r="I69" s="3"/>
      <c r="J69" s="3"/>
      <c r="K69" s="3"/>
      <c r="L69" s="3"/>
      <c r="M69" s="3"/>
      <c r="N69" s="3"/>
      <c r="O69" s="3"/>
      <c r="P69" s="3"/>
    </row>
    <row r="71" spans="1:16" ht="48.75" customHeight="1" x14ac:dyDescent="0.25"/>
    <row r="72" spans="1:16" ht="15" customHeight="1" x14ac:dyDescent="0.25">
      <c r="A72" s="3"/>
      <c r="B72" s="3"/>
      <c r="C72" s="3"/>
      <c r="D72" s="3"/>
      <c r="E72" s="3"/>
      <c r="F72" s="3"/>
    </row>
    <row r="73" spans="1:16" ht="15" customHeight="1" x14ac:dyDescent="0.25">
      <c r="F73" s="3"/>
      <c r="G73" s="3"/>
      <c r="H73" s="3"/>
      <c r="I73" s="3"/>
      <c r="J73" s="3"/>
      <c r="K73" s="3"/>
      <c r="L73" s="3"/>
      <c r="M73" s="3"/>
      <c r="N73" s="3"/>
      <c r="O73" s="3"/>
      <c r="P73" s="3"/>
    </row>
    <row r="74" spans="1:16" ht="15" customHeight="1" x14ac:dyDescent="0.25"/>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sheetData>
  <mergeCells count="52">
    <mergeCell ref="A1:B1"/>
    <mergeCell ref="N1:O1"/>
    <mergeCell ref="A139:O139"/>
    <mergeCell ref="A133:O133"/>
    <mergeCell ref="A134:O134"/>
    <mergeCell ref="A135:O135"/>
    <mergeCell ref="A136:O136"/>
    <mergeCell ref="A137:O137"/>
    <mergeCell ref="A138:O138"/>
    <mergeCell ref="A132:O132"/>
    <mergeCell ref="A121:O121"/>
    <mergeCell ref="A122:O122"/>
    <mergeCell ref="A123:O123"/>
    <mergeCell ref="A124:O124"/>
    <mergeCell ref="A125:O125"/>
    <mergeCell ref="A126:O126"/>
    <mergeCell ref="A127:O127"/>
    <mergeCell ref="A128:O128"/>
    <mergeCell ref="A129:O129"/>
    <mergeCell ref="A130:O130"/>
    <mergeCell ref="A131:O131"/>
    <mergeCell ref="A120:O120"/>
    <mergeCell ref="A22:F22"/>
    <mergeCell ref="A23:E23"/>
    <mergeCell ref="F23:G23"/>
    <mergeCell ref="H23:P23"/>
    <mergeCell ref="A113:O113"/>
    <mergeCell ref="A114:O114"/>
    <mergeCell ref="A115:O115"/>
    <mergeCell ref="A116:O116"/>
    <mergeCell ref="A117:O117"/>
    <mergeCell ref="A118:O118"/>
    <mergeCell ref="A119:O119"/>
    <mergeCell ref="A20:E20"/>
    <mergeCell ref="F20:G20"/>
    <mergeCell ref="H20:P20"/>
    <mergeCell ref="A11:F11"/>
    <mergeCell ref="A12:E12"/>
    <mergeCell ref="F12:G12"/>
    <mergeCell ref="H12:P12"/>
    <mergeCell ref="A14:P14"/>
    <mergeCell ref="A15:P15"/>
    <mergeCell ref="A16:F16"/>
    <mergeCell ref="A17:E17"/>
    <mergeCell ref="F17:G17"/>
    <mergeCell ref="H17:P17"/>
    <mergeCell ref="A19:F19"/>
    <mergeCell ref="A10:P10"/>
    <mergeCell ref="A7:F7"/>
    <mergeCell ref="F8:G8"/>
    <mergeCell ref="H8:P8"/>
    <mergeCell ref="A2:P6"/>
  </mergeCells>
  <conditionalFormatting sqref="A10:P11 A12 F12:P12">
    <cfRule type="expression" dxfId="128" priority="61">
      <formula>AND($H12&gt;=1,$H12&lt;=7)</formula>
    </cfRule>
  </conditionalFormatting>
  <conditionalFormatting sqref="A11:F11">
    <cfRule type="expression" dxfId="127" priority="60">
      <formula>AND(H12&gt;=1,H12&lt;=7)</formula>
    </cfRule>
  </conditionalFormatting>
  <conditionalFormatting sqref="G11">
    <cfRule type="expression" dxfId="126" priority="59">
      <formula>AND(H12&gt;=1,H12&lt;=7)</formula>
    </cfRule>
  </conditionalFormatting>
  <conditionalFormatting sqref="H11">
    <cfRule type="expression" dxfId="125" priority="58">
      <formula>AND(H12&gt;=1,H12&lt;=7)</formula>
    </cfRule>
  </conditionalFormatting>
  <conditionalFormatting sqref="I11">
    <cfRule type="expression" dxfId="124" priority="57">
      <formula>AND(H12&gt;=1,H12&lt;=7)</formula>
    </cfRule>
  </conditionalFormatting>
  <conditionalFormatting sqref="J11">
    <cfRule type="expression" dxfId="123" priority="56">
      <formula>AND(H12&gt;=1,H12&lt;=7)</formula>
    </cfRule>
  </conditionalFormatting>
  <conditionalFormatting sqref="K11">
    <cfRule type="expression" dxfId="122" priority="55">
      <formula>AND(H12&gt;=1,H12&lt;=7)</formula>
    </cfRule>
  </conditionalFormatting>
  <conditionalFormatting sqref="L11">
    <cfRule type="expression" dxfId="121" priority="54">
      <formula>AND(H12&gt;=1,H12&lt;=7)</formula>
    </cfRule>
  </conditionalFormatting>
  <conditionalFormatting sqref="M11">
    <cfRule type="expression" dxfId="120" priority="53">
      <formula>AND(H12&gt;=1,H12&lt;=7)</formula>
    </cfRule>
  </conditionalFormatting>
  <conditionalFormatting sqref="N11">
    <cfRule type="expression" dxfId="119" priority="52">
      <formula>AND(H12&gt;=1,H12&lt;=7)</formula>
    </cfRule>
  </conditionalFormatting>
  <conditionalFormatting sqref="O11">
    <cfRule type="expression" dxfId="118" priority="51">
      <formula>AND(H12&gt;=1,H12&lt;=7)</formula>
    </cfRule>
  </conditionalFormatting>
  <conditionalFormatting sqref="P11">
    <cfRule type="expression" dxfId="117" priority="50">
      <formula>AND(H12&gt;=1,H12&lt;=7)</formula>
    </cfRule>
  </conditionalFormatting>
  <conditionalFormatting sqref="A12:E12">
    <cfRule type="expression" dxfId="116" priority="49">
      <formula>AND(H12&gt;=1,H12&lt;=7)</formula>
    </cfRule>
  </conditionalFormatting>
  <conditionalFormatting sqref="H12:P12">
    <cfRule type="expression" dxfId="115" priority="48">
      <formula>AND(H12&gt;=1,H12&lt;=7)</formula>
    </cfRule>
  </conditionalFormatting>
  <conditionalFormatting sqref="A14:P14">
    <cfRule type="expression" dxfId="114" priority="47">
      <formula>AND($H16&gt;=1,$H16&lt;=7)</formula>
    </cfRule>
  </conditionalFormatting>
  <conditionalFormatting sqref="G16:P16 A17 F17:P17">
    <cfRule type="expression" dxfId="113" priority="46">
      <formula>AND($H18&gt;=1,$H18&lt;=7)</formula>
    </cfRule>
  </conditionalFormatting>
  <conditionalFormatting sqref="G16">
    <cfRule type="expression" dxfId="112" priority="44">
      <formula>AND(H17&gt;=1,H17&lt;=7)</formula>
    </cfRule>
  </conditionalFormatting>
  <conditionalFormatting sqref="H16">
    <cfRule type="expression" dxfId="111" priority="43">
      <formula>AND(H17&gt;=1,H17&lt;=7)</formula>
    </cfRule>
  </conditionalFormatting>
  <conditionalFormatting sqref="I16">
    <cfRule type="expression" dxfId="110" priority="42">
      <formula>AND(H17&gt;=1,H17&lt;=7)</formula>
    </cfRule>
  </conditionalFormatting>
  <conditionalFormatting sqref="J16">
    <cfRule type="expression" dxfId="109" priority="41">
      <formula>AND(H17&gt;=1,H17&lt;=7)</formula>
    </cfRule>
  </conditionalFormatting>
  <conditionalFormatting sqref="K16">
    <cfRule type="expression" dxfId="108" priority="40">
      <formula>AND(H17&gt;=1,H17&lt;=7)</formula>
    </cfRule>
  </conditionalFormatting>
  <conditionalFormatting sqref="L16">
    <cfRule type="expression" dxfId="107" priority="39">
      <formula>AND(H17&gt;=1,H17&lt;=7)</formula>
    </cfRule>
  </conditionalFormatting>
  <conditionalFormatting sqref="M16">
    <cfRule type="expression" dxfId="106" priority="38">
      <formula>AND(H17&gt;=1,H17&lt;=7)</formula>
    </cfRule>
  </conditionalFormatting>
  <conditionalFormatting sqref="N16">
    <cfRule type="expression" dxfId="105" priority="37">
      <formula>AND(H17&gt;=1,H17&lt;=7)</formula>
    </cfRule>
  </conditionalFormatting>
  <conditionalFormatting sqref="O16">
    <cfRule type="expression" dxfId="104" priority="36">
      <formula>AND(H17&gt;=1,H17&lt;=7)</formula>
    </cfRule>
  </conditionalFormatting>
  <conditionalFormatting sqref="P16">
    <cfRule type="expression" dxfId="103" priority="35">
      <formula>AND(H17&gt;=1,H17&lt;=7)</formula>
    </cfRule>
  </conditionalFormatting>
  <conditionalFormatting sqref="A17:E17">
    <cfRule type="expression" dxfId="102" priority="34">
      <formula>AND(H17&gt;=1,H17&lt;=7)</formula>
    </cfRule>
  </conditionalFormatting>
  <conditionalFormatting sqref="H17:P17">
    <cfRule type="expression" dxfId="101" priority="33">
      <formula>AND(H17&gt;=1,H17&lt;=7)</formula>
    </cfRule>
  </conditionalFormatting>
  <conditionalFormatting sqref="A19:G19 A20 F20:P20">
    <cfRule type="expression" dxfId="100" priority="32">
      <formula>AND($H21&gt;=1,$H21&lt;=7)</formula>
    </cfRule>
  </conditionalFormatting>
  <conditionalFormatting sqref="A19:F19">
    <cfRule type="expression" dxfId="99" priority="31">
      <formula>AND(H20&gt;=1,H20&lt;=7)</formula>
    </cfRule>
  </conditionalFormatting>
  <conditionalFormatting sqref="G19">
    <cfRule type="expression" dxfId="98" priority="30">
      <formula>AND(H20&gt;=1,H20&lt;=7)</formula>
    </cfRule>
  </conditionalFormatting>
  <conditionalFormatting sqref="A20:E20">
    <cfRule type="expression" dxfId="97" priority="29">
      <formula>AND(H20&gt;=1,H20&lt;=7)</formula>
    </cfRule>
  </conditionalFormatting>
  <conditionalFormatting sqref="H20:P20">
    <cfRule type="expression" dxfId="96" priority="28">
      <formula>AND(H20&gt;=1,H20&lt;=7)</formula>
    </cfRule>
  </conditionalFormatting>
  <conditionalFormatting sqref="A22:G22 A23 F23:P23">
    <cfRule type="expression" dxfId="95" priority="27">
      <formula>AND($H24&gt;=1,$H24&lt;=7)</formula>
    </cfRule>
  </conditionalFormatting>
  <conditionalFormatting sqref="A22:F22">
    <cfRule type="expression" dxfId="94" priority="26">
      <formula>AND(H23&gt;=1,H23&lt;=7)</formula>
    </cfRule>
  </conditionalFormatting>
  <conditionalFormatting sqref="G22">
    <cfRule type="expression" dxfId="93" priority="25">
      <formula>AND(H23&gt;=1,H23&lt;=7)</formula>
    </cfRule>
  </conditionalFormatting>
  <conditionalFormatting sqref="A23:E23">
    <cfRule type="expression" dxfId="92" priority="24">
      <formula>AND(H23&gt;=1,H23&lt;=7)</formula>
    </cfRule>
  </conditionalFormatting>
  <conditionalFormatting sqref="H23:P23">
    <cfRule type="expression" dxfId="91" priority="23">
      <formula>AND(H23&gt;=1,H23&lt;=7)</formula>
    </cfRule>
  </conditionalFormatting>
  <conditionalFormatting sqref="H19:P19">
    <cfRule type="expression" dxfId="90" priority="22">
      <formula>AND($H21&gt;=1,$H21&lt;=7)</formula>
    </cfRule>
  </conditionalFormatting>
  <conditionalFormatting sqref="H19">
    <cfRule type="expression" dxfId="89" priority="21">
      <formula>AND(H20&gt;=1,H20&lt;=7)</formula>
    </cfRule>
  </conditionalFormatting>
  <conditionalFormatting sqref="I19">
    <cfRule type="expression" dxfId="88" priority="20">
      <formula>AND(H20&gt;=1,H20&lt;=7)</formula>
    </cfRule>
  </conditionalFormatting>
  <conditionalFormatting sqref="J19">
    <cfRule type="expression" dxfId="87" priority="19">
      <formula>AND(H20&gt;=1,H20&lt;=7)</formula>
    </cfRule>
  </conditionalFormatting>
  <conditionalFormatting sqref="K19">
    <cfRule type="expression" dxfId="86" priority="18">
      <formula>AND(H20&gt;=1,H20&lt;=7)</formula>
    </cfRule>
  </conditionalFormatting>
  <conditionalFormatting sqref="L19">
    <cfRule type="expression" dxfId="85" priority="17">
      <formula>AND(H20&gt;=1,H20&lt;=7)</formula>
    </cfRule>
  </conditionalFormatting>
  <conditionalFormatting sqref="M19">
    <cfRule type="expression" dxfId="84" priority="16">
      <formula>AND(H20&gt;=1,H20&lt;=7)</formula>
    </cfRule>
  </conditionalFormatting>
  <conditionalFormatting sqref="N19">
    <cfRule type="expression" dxfId="83" priority="15">
      <formula>AND(H20&gt;=1,H20&lt;=7)</formula>
    </cfRule>
  </conditionalFormatting>
  <conditionalFormatting sqref="O19">
    <cfRule type="expression" dxfId="82" priority="14">
      <formula>AND(H20&gt;=1,H20&lt;=7)</formula>
    </cfRule>
  </conditionalFormatting>
  <conditionalFormatting sqref="P19">
    <cfRule type="expression" dxfId="81" priority="13">
      <formula>AND(H20&gt;=1,H20&lt;=7)</formula>
    </cfRule>
  </conditionalFormatting>
  <conditionalFormatting sqref="H22:P22">
    <cfRule type="expression" dxfId="80" priority="12">
      <formula>AND($H24&gt;=1,$H24&lt;=7)</formula>
    </cfRule>
  </conditionalFormatting>
  <conditionalFormatting sqref="H22">
    <cfRule type="expression" dxfId="79" priority="11">
      <formula>AND(H23&gt;=1,H23&lt;=7)</formula>
    </cfRule>
  </conditionalFormatting>
  <conditionalFormatting sqref="I22">
    <cfRule type="expression" dxfId="78" priority="10">
      <formula>AND(H23&gt;=1,H23&lt;=7)</formula>
    </cfRule>
  </conditionalFormatting>
  <conditionalFormatting sqref="J22">
    <cfRule type="expression" dxfId="77" priority="9">
      <formula>AND(H23&gt;=1,H23&lt;=7)</formula>
    </cfRule>
  </conditionalFormatting>
  <conditionalFormatting sqref="K22">
    <cfRule type="expression" dxfId="76" priority="8">
      <formula>AND(H23&gt;=1,H23&lt;=7)</formula>
    </cfRule>
  </conditionalFormatting>
  <conditionalFormatting sqref="L22">
    <cfRule type="expression" dxfId="75" priority="7">
      <formula>AND(H23&gt;=1,H23&lt;=7)</formula>
    </cfRule>
  </conditionalFormatting>
  <conditionalFormatting sqref="M22">
    <cfRule type="expression" dxfId="74" priority="6">
      <formula>AND(H23&gt;=1,H23&lt;=7)</formula>
    </cfRule>
  </conditionalFormatting>
  <conditionalFormatting sqref="N22">
    <cfRule type="expression" dxfId="73" priority="5">
      <formula>AND(H23&gt;=1,H23&lt;=7)</formula>
    </cfRule>
  </conditionalFormatting>
  <conditionalFormatting sqref="O22">
    <cfRule type="expression" dxfId="72" priority="4">
      <formula>AND(H23&gt;=1,H23&lt;=7)</formula>
    </cfRule>
  </conditionalFormatting>
  <conditionalFormatting sqref="P22">
    <cfRule type="expression" dxfId="71" priority="3">
      <formula>AND(H23&gt;=1,H23&lt;=7)</formula>
    </cfRule>
  </conditionalFormatting>
  <conditionalFormatting sqref="A16:F16">
    <cfRule type="expression" dxfId="70" priority="2">
      <formula>AND($H18&gt;=1,$H18&lt;=7)</formula>
    </cfRule>
  </conditionalFormatting>
  <conditionalFormatting sqref="A16:F16">
    <cfRule type="expression" dxfId="69" priority="1">
      <formula>AND(H17&gt;=1,H17&lt;=7)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macro="[0]!chkBoxYesGotErrorMessage_Click">
                <anchor moveWithCells="1">
                  <from>
                    <xdr:col>8</xdr:col>
                    <xdr:colOff>0</xdr:colOff>
                    <xdr:row>13</xdr:row>
                    <xdr:rowOff>19050</xdr:rowOff>
                  </from>
                  <to>
                    <xdr:col>9</xdr:col>
                    <xdr:colOff>9525</xdr:colOff>
                    <xdr:row>14</xdr:row>
                    <xdr:rowOff>38100</xdr:rowOff>
                  </to>
                </anchor>
              </controlPr>
            </control>
          </mc:Choice>
        </mc:AlternateContent>
        <mc:AlternateContent xmlns:mc="http://schemas.openxmlformats.org/markup-compatibility/2006">
          <mc:Choice Requires="x14">
            <control shapeId="11266" r:id="rId5" name="Check Box 2">
              <controlPr defaultSize="0" autoFill="0" autoLine="0" autoPict="0" macro="[0]!chkBoxNoErrorMessage">
                <anchor moveWithCells="1">
                  <from>
                    <xdr:col>9</xdr:col>
                    <xdr:colOff>57150</xdr:colOff>
                    <xdr:row>13</xdr:row>
                    <xdr:rowOff>19050</xdr:rowOff>
                  </from>
                  <to>
                    <xdr:col>9</xdr:col>
                    <xdr:colOff>590550</xdr:colOff>
                    <xdr:row>14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36"/>
  <sheetViews>
    <sheetView showGridLines="0" workbookViewId="0">
      <selection activeCell="H10" sqref="H10"/>
    </sheetView>
  </sheetViews>
  <sheetFormatPr defaultRowHeight="15" x14ac:dyDescent="0.25"/>
  <cols>
    <col min="16" max="16" width="12.7109375" bestFit="1" customWidth="1"/>
  </cols>
  <sheetData>
    <row r="1" spans="1:16" x14ac:dyDescent="0.25">
      <c r="A1" s="75" t="s">
        <v>42</v>
      </c>
      <c r="B1" s="75"/>
      <c r="C1" s="37">
        <f>Timings!$B$8</f>
        <v>1.5972222222222221E-3</v>
      </c>
      <c r="D1" s="36"/>
      <c r="E1" s="35"/>
      <c r="F1" s="35"/>
      <c r="G1" s="35"/>
      <c r="H1" s="35"/>
      <c r="I1" s="35"/>
      <c r="J1" s="35"/>
      <c r="K1" s="35"/>
      <c r="L1" s="35"/>
      <c r="M1" s="35"/>
      <c r="N1" s="75" t="s">
        <v>43</v>
      </c>
      <c r="O1" s="75"/>
      <c r="P1" s="37">
        <f ca="1">IF(Welcome!$B$4&lt;&gt;"",IF(Welcome!$B$5="",NOW()-Welcome!$B$4,Welcome!$B$6),"")</f>
        <v>1.9004629633855075E-2</v>
      </c>
    </row>
    <row r="2" spans="1:16" x14ac:dyDescent="0.25">
      <c r="A2" s="52" t="str">
        <f>ExpectationRating!A57</f>
        <v>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 customHeight="1" x14ac:dyDescent="0.25">
      <c r="A4" s="76" t="s">
        <v>1</v>
      </c>
      <c r="B4" s="76"/>
      <c r="C4" s="76"/>
      <c r="D4" s="76"/>
      <c r="E4" s="76"/>
      <c r="F4" s="76"/>
      <c r="G4" s="9"/>
      <c r="H4" s="10" t="s">
        <v>2</v>
      </c>
      <c r="I4" s="11">
        <v>1</v>
      </c>
      <c r="J4" s="11">
        <v>2</v>
      </c>
      <c r="K4" s="11">
        <v>3</v>
      </c>
      <c r="L4" s="11">
        <v>4</v>
      </c>
      <c r="M4" s="11">
        <v>5</v>
      </c>
      <c r="N4" s="11">
        <v>6</v>
      </c>
      <c r="O4" s="11">
        <v>7</v>
      </c>
      <c r="P4" s="9" t="s">
        <v>3</v>
      </c>
    </row>
    <row r="5" spans="1:16" ht="15" customHeight="1" x14ac:dyDescent="0.25">
      <c r="A5" s="10"/>
      <c r="B5" s="10"/>
      <c r="C5" s="10"/>
      <c r="D5" s="10"/>
      <c r="E5" s="10"/>
      <c r="F5" s="76" t="s">
        <v>7</v>
      </c>
      <c r="G5" s="77"/>
      <c r="H5" s="81">
        <f>ExpectationRating!I60</f>
        <v>4</v>
      </c>
      <c r="I5" s="81"/>
      <c r="J5" s="81"/>
      <c r="K5" s="81"/>
      <c r="L5" s="81"/>
      <c r="M5" s="81"/>
      <c r="N5" s="81"/>
      <c r="O5" s="81"/>
      <c r="P5" s="81"/>
    </row>
    <row r="6" spans="1:16" ht="15" customHeight="1" x14ac:dyDescent="0.25">
      <c r="A6" s="3"/>
      <c r="B6" s="3"/>
      <c r="C6" s="3"/>
      <c r="D6" s="3"/>
      <c r="E6" s="3"/>
      <c r="F6" s="3"/>
      <c r="G6" s="3"/>
      <c r="H6" s="3"/>
      <c r="I6" s="3"/>
      <c r="J6" s="3"/>
      <c r="K6" s="3"/>
      <c r="L6" s="3"/>
      <c r="M6" s="3"/>
      <c r="N6" s="3"/>
      <c r="O6" s="3"/>
    </row>
    <row r="7" spans="1:16" ht="15" customHeight="1" x14ac:dyDescent="0.25">
      <c r="A7" s="67" t="s">
        <v>9</v>
      </c>
      <c r="B7" s="67"/>
      <c r="C7" s="67"/>
      <c r="D7" s="67"/>
      <c r="E7" s="67"/>
      <c r="F7" s="67"/>
      <c r="G7" s="67"/>
      <c r="H7" s="67"/>
      <c r="I7" s="67"/>
      <c r="J7" s="67"/>
      <c r="K7" s="67"/>
      <c r="L7" s="67"/>
      <c r="M7" s="67"/>
      <c r="N7" s="67"/>
      <c r="O7" s="67"/>
      <c r="P7" s="67"/>
    </row>
    <row r="8" spans="1:16" s="5" customFormat="1" ht="32.25" customHeight="1" x14ac:dyDescent="0.25">
      <c r="A8" s="70" t="s">
        <v>8</v>
      </c>
      <c r="B8" s="70"/>
      <c r="C8" s="70"/>
      <c r="D8" s="70"/>
      <c r="E8" s="70"/>
      <c r="F8" s="70"/>
      <c r="G8" s="12"/>
      <c r="H8" s="6" t="s">
        <v>2</v>
      </c>
      <c r="I8" s="6">
        <v>1</v>
      </c>
      <c r="J8" s="6">
        <v>2</v>
      </c>
      <c r="K8" s="6">
        <v>3</v>
      </c>
      <c r="L8" s="6">
        <v>4</v>
      </c>
      <c r="M8" s="6">
        <v>5</v>
      </c>
      <c r="N8" s="6">
        <v>6</v>
      </c>
      <c r="O8" s="6">
        <v>7</v>
      </c>
      <c r="P8" s="6" t="s">
        <v>3</v>
      </c>
    </row>
    <row r="9" spans="1:16" ht="15.75" x14ac:dyDescent="0.25">
      <c r="A9" s="63"/>
      <c r="B9" s="63"/>
      <c r="C9" s="63"/>
      <c r="D9" s="63"/>
      <c r="E9" s="63"/>
      <c r="F9" s="55" t="s">
        <v>4</v>
      </c>
      <c r="G9" s="56"/>
      <c r="H9" s="74">
        <v>6</v>
      </c>
      <c r="I9" s="74"/>
      <c r="J9" s="74"/>
      <c r="K9" s="74"/>
      <c r="L9" s="74"/>
      <c r="M9" s="74"/>
      <c r="N9" s="74"/>
      <c r="O9" s="74"/>
      <c r="P9" s="74"/>
    </row>
    <row r="10" spans="1:16" x14ac:dyDescent="0.25">
      <c r="A10" s="3"/>
      <c r="B10" s="3"/>
      <c r="C10" s="3"/>
      <c r="D10" s="3"/>
      <c r="E10" s="3"/>
      <c r="F10" s="3"/>
      <c r="G10" s="3"/>
      <c r="H10" s="3"/>
      <c r="I10" s="3"/>
      <c r="J10" s="3"/>
      <c r="K10" s="3"/>
      <c r="L10" s="3"/>
      <c r="M10" s="3"/>
      <c r="N10" s="3"/>
      <c r="O10" s="3"/>
      <c r="P10" s="3"/>
    </row>
    <row r="11" spans="1:16" ht="15.75" x14ac:dyDescent="0.25">
      <c r="A11" s="67" t="s">
        <v>10</v>
      </c>
      <c r="B11" s="67"/>
      <c r="C11" s="67"/>
      <c r="D11" s="67"/>
      <c r="E11" s="67"/>
      <c r="F11" s="67"/>
      <c r="G11" s="67"/>
      <c r="H11" s="67"/>
      <c r="I11" s="67"/>
      <c r="J11" s="67"/>
      <c r="K11" s="67"/>
      <c r="L11" s="67"/>
      <c r="M11" s="67"/>
      <c r="N11" s="67"/>
      <c r="O11" s="67"/>
      <c r="P11" s="67"/>
    </row>
    <row r="12" spans="1:16" ht="25.5" customHeight="1" x14ac:dyDescent="0.25">
      <c r="A12" s="69" t="s">
        <v>13</v>
      </c>
      <c r="B12" s="69"/>
      <c r="C12" s="69"/>
      <c r="D12" s="69"/>
      <c r="E12" s="69"/>
      <c r="F12" s="69"/>
      <c r="G12" s="69"/>
      <c r="H12" s="69"/>
      <c r="I12" s="69"/>
      <c r="J12" s="69"/>
      <c r="K12" s="69"/>
      <c r="L12" s="69"/>
      <c r="M12" s="69"/>
      <c r="N12" s="69"/>
      <c r="O12" s="69"/>
      <c r="P12" s="69"/>
    </row>
    <row r="13" spans="1:16" ht="30" customHeight="1" x14ac:dyDescent="0.25">
      <c r="A13" s="68" t="s">
        <v>64</v>
      </c>
      <c r="B13" s="68"/>
      <c r="C13" s="68"/>
      <c r="D13" s="68"/>
      <c r="E13" s="68"/>
      <c r="F13" s="68"/>
      <c r="G13" s="13"/>
      <c r="H13" s="15" t="s">
        <v>5</v>
      </c>
      <c r="I13" s="14">
        <v>1</v>
      </c>
      <c r="J13" s="14">
        <v>2</v>
      </c>
      <c r="K13" s="14">
        <v>3</v>
      </c>
      <c r="L13" s="14">
        <v>4</v>
      </c>
      <c r="M13" s="14">
        <v>5</v>
      </c>
      <c r="N13" s="14">
        <v>6</v>
      </c>
      <c r="O13" s="14">
        <v>7</v>
      </c>
      <c r="P13" s="15" t="s">
        <v>6</v>
      </c>
    </row>
    <row r="14" spans="1:16" ht="15" customHeight="1" x14ac:dyDescent="0.25">
      <c r="A14" s="63"/>
      <c r="B14" s="63"/>
      <c r="C14" s="63"/>
      <c r="D14" s="63"/>
      <c r="E14" s="63"/>
      <c r="F14" s="55" t="s">
        <v>4</v>
      </c>
      <c r="G14" s="56"/>
      <c r="H14" s="74">
        <v>0</v>
      </c>
      <c r="I14" s="74"/>
      <c r="J14" s="74"/>
      <c r="K14" s="74"/>
      <c r="L14" s="74"/>
      <c r="M14" s="74"/>
      <c r="N14" s="74"/>
      <c r="O14" s="74"/>
      <c r="P14" s="74"/>
    </row>
    <row r="15" spans="1:16" ht="15" customHeight="1" x14ac:dyDescent="0.25">
      <c r="A15" s="3"/>
      <c r="B15" s="3"/>
      <c r="C15" s="3"/>
      <c r="D15" s="3"/>
      <c r="E15" s="3"/>
      <c r="F15" s="3"/>
      <c r="G15" s="3"/>
      <c r="H15" s="3"/>
      <c r="I15" s="3"/>
      <c r="J15" s="3"/>
      <c r="K15" s="3"/>
      <c r="L15" s="3"/>
      <c r="M15" s="3"/>
      <c r="N15" s="3"/>
      <c r="O15" s="3"/>
    </row>
    <row r="16" spans="1:16" ht="33" customHeight="1" x14ac:dyDescent="0.25">
      <c r="A16" s="68" t="s">
        <v>11</v>
      </c>
      <c r="B16" s="68"/>
      <c r="C16" s="68"/>
      <c r="D16" s="68"/>
      <c r="E16" s="68"/>
      <c r="F16" s="68"/>
      <c r="G16" s="13"/>
      <c r="H16" s="15" t="s">
        <v>5</v>
      </c>
      <c r="I16" s="14">
        <v>1</v>
      </c>
      <c r="J16" s="14">
        <v>2</v>
      </c>
      <c r="K16" s="14">
        <v>3</v>
      </c>
      <c r="L16" s="14">
        <v>4</v>
      </c>
      <c r="M16" s="14">
        <v>5</v>
      </c>
      <c r="N16" s="14">
        <v>6</v>
      </c>
      <c r="O16" s="14">
        <v>7</v>
      </c>
      <c r="P16" s="15" t="s">
        <v>6</v>
      </c>
    </row>
    <row r="17" spans="1:16" ht="15.75" x14ac:dyDescent="0.25">
      <c r="A17" s="63"/>
      <c r="B17" s="63"/>
      <c r="C17" s="63"/>
      <c r="D17" s="63"/>
      <c r="E17" s="63"/>
      <c r="F17" s="55" t="s">
        <v>4</v>
      </c>
      <c r="G17" s="56"/>
      <c r="H17" s="74">
        <v>0</v>
      </c>
      <c r="I17" s="74"/>
      <c r="J17" s="74"/>
      <c r="K17" s="74"/>
      <c r="L17" s="74"/>
      <c r="M17" s="74"/>
      <c r="N17" s="74"/>
      <c r="O17" s="74"/>
      <c r="P17" s="74"/>
    </row>
    <row r="18" spans="1:16" x14ac:dyDescent="0.25">
      <c r="A18" s="3"/>
      <c r="B18" s="3"/>
      <c r="C18" s="3"/>
      <c r="D18" s="3"/>
      <c r="E18" s="3"/>
      <c r="F18" s="3"/>
      <c r="G18" s="3"/>
      <c r="H18" s="3"/>
      <c r="I18" s="3"/>
      <c r="J18" s="3"/>
      <c r="K18" s="3"/>
      <c r="L18" s="3"/>
      <c r="M18" s="3"/>
      <c r="N18" s="3"/>
      <c r="O18" s="3"/>
      <c r="P18" s="3"/>
    </row>
    <row r="19" spans="1:16" ht="31.5" customHeight="1" x14ac:dyDescent="0.25">
      <c r="A19" s="68" t="s">
        <v>12</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0</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52">
    <mergeCell ref="A136:O136"/>
    <mergeCell ref="A130:O130"/>
    <mergeCell ref="A131:O131"/>
    <mergeCell ref="A132:O132"/>
    <mergeCell ref="A133:O133"/>
    <mergeCell ref="A134:O134"/>
    <mergeCell ref="A135:O135"/>
    <mergeCell ref="A129:O129"/>
    <mergeCell ref="A118:O118"/>
    <mergeCell ref="A119:O119"/>
    <mergeCell ref="A120:O120"/>
    <mergeCell ref="A121:O121"/>
    <mergeCell ref="A122:O122"/>
    <mergeCell ref="A123:O123"/>
    <mergeCell ref="A124:O124"/>
    <mergeCell ref="A125:O125"/>
    <mergeCell ref="A126:O126"/>
    <mergeCell ref="A127:O127"/>
    <mergeCell ref="A128:O128"/>
    <mergeCell ref="A117:O117"/>
    <mergeCell ref="A19:F19"/>
    <mergeCell ref="A20:E20"/>
    <mergeCell ref="F20:G20"/>
    <mergeCell ref="H20:P20"/>
    <mergeCell ref="A110:O110"/>
    <mergeCell ref="A111:O111"/>
    <mergeCell ref="A112:O112"/>
    <mergeCell ref="A113:O113"/>
    <mergeCell ref="A114:O114"/>
    <mergeCell ref="A115:O115"/>
    <mergeCell ref="A116:O116"/>
    <mergeCell ref="A17:E17"/>
    <mergeCell ref="F17:G17"/>
    <mergeCell ref="H17:P17"/>
    <mergeCell ref="A8:F8"/>
    <mergeCell ref="A9:E9"/>
    <mergeCell ref="F9:G9"/>
    <mergeCell ref="H9:P9"/>
    <mergeCell ref="A11:P11"/>
    <mergeCell ref="A12:P12"/>
    <mergeCell ref="A13:F13"/>
    <mergeCell ref="A14:E14"/>
    <mergeCell ref="F14:G14"/>
    <mergeCell ref="H14:P14"/>
    <mergeCell ref="A16:F16"/>
    <mergeCell ref="A1:B1"/>
    <mergeCell ref="N1:O1"/>
    <mergeCell ref="A7:P7"/>
    <mergeCell ref="A4:F4"/>
    <mergeCell ref="F5:G5"/>
    <mergeCell ref="H5:P5"/>
    <mergeCell ref="A2:P3"/>
  </mergeCells>
  <conditionalFormatting sqref="A7:P8 A9 F9:P9">
    <cfRule type="expression" dxfId="68" priority="61">
      <formula>AND($H9&gt;=1,$H9&lt;=7)</formula>
    </cfRule>
  </conditionalFormatting>
  <conditionalFormatting sqref="A8:F8">
    <cfRule type="expression" dxfId="67" priority="60">
      <formula>AND(H9&gt;=1,H9&lt;=7)</formula>
    </cfRule>
  </conditionalFormatting>
  <conditionalFormatting sqref="G8">
    <cfRule type="expression" dxfId="66" priority="59">
      <formula>AND(H9&gt;=1,H9&lt;=7)</formula>
    </cfRule>
  </conditionalFormatting>
  <conditionalFormatting sqref="H8">
    <cfRule type="expression" dxfId="65" priority="58">
      <formula>AND(H9&gt;=1,H9&lt;=7)</formula>
    </cfRule>
  </conditionalFormatting>
  <conditionalFormatting sqref="I8">
    <cfRule type="expression" dxfId="64" priority="57">
      <formula>AND(H9&gt;=1,H9&lt;=7)</formula>
    </cfRule>
  </conditionalFormatting>
  <conditionalFormatting sqref="J8">
    <cfRule type="expression" dxfId="63" priority="56">
      <formula>AND(H9&gt;=1,H9&lt;=7)</formula>
    </cfRule>
  </conditionalFormatting>
  <conditionalFormatting sqref="K8">
    <cfRule type="expression" dxfId="62" priority="55">
      <formula>AND(H9&gt;=1,H9&lt;=7)</formula>
    </cfRule>
  </conditionalFormatting>
  <conditionalFormatting sqref="L8">
    <cfRule type="expression" dxfId="61" priority="54">
      <formula>AND(H9&gt;=1,H9&lt;=7)</formula>
    </cfRule>
  </conditionalFormatting>
  <conditionalFormatting sqref="M8">
    <cfRule type="expression" dxfId="60" priority="53">
      <formula>AND(H9&gt;=1,H9&lt;=7)</formula>
    </cfRule>
  </conditionalFormatting>
  <conditionalFormatting sqref="N8">
    <cfRule type="expression" dxfId="59" priority="52">
      <formula>AND(H9&gt;=1,H9&lt;=7)</formula>
    </cfRule>
  </conditionalFormatting>
  <conditionalFormatting sqref="O8">
    <cfRule type="expression" dxfId="58" priority="51">
      <formula>AND(H9&gt;=1,H9&lt;=7)</formula>
    </cfRule>
  </conditionalFormatting>
  <conditionalFormatting sqref="P8">
    <cfRule type="expression" dxfId="57" priority="50">
      <formula>AND(H9&gt;=1,H9&lt;=7)</formula>
    </cfRule>
  </conditionalFormatting>
  <conditionalFormatting sqref="A9:E9">
    <cfRule type="expression" dxfId="56" priority="49">
      <formula>AND(H9&gt;=1,H9&lt;=7)</formula>
    </cfRule>
  </conditionalFormatting>
  <conditionalFormatting sqref="H9:P9">
    <cfRule type="expression" dxfId="55" priority="48">
      <formula>AND(H9&gt;=1,H9&lt;=7)</formula>
    </cfRule>
  </conditionalFormatting>
  <conditionalFormatting sqref="A11:P11">
    <cfRule type="expression" dxfId="54" priority="47">
      <formula>AND($H13&gt;=1,$H13&lt;=7)</formula>
    </cfRule>
  </conditionalFormatting>
  <conditionalFormatting sqref="G13:P13 A14 F14:P14">
    <cfRule type="expression" dxfId="53" priority="46">
      <formula>AND($H15&gt;=1,$H15&lt;=7)</formula>
    </cfRule>
  </conditionalFormatting>
  <conditionalFormatting sqref="G13">
    <cfRule type="expression" dxfId="52" priority="44">
      <formula>AND(H14&gt;=1,H14&lt;=7)</formula>
    </cfRule>
  </conditionalFormatting>
  <conditionalFormatting sqref="H13">
    <cfRule type="expression" dxfId="51" priority="43">
      <formula>AND(H14&gt;=1,H14&lt;=7)</formula>
    </cfRule>
  </conditionalFormatting>
  <conditionalFormatting sqref="I13">
    <cfRule type="expression" dxfId="50" priority="42">
      <formula>AND(H14&gt;=1,H14&lt;=7)</formula>
    </cfRule>
  </conditionalFormatting>
  <conditionalFormatting sqref="J13">
    <cfRule type="expression" dxfId="49" priority="41">
      <formula>AND(H14&gt;=1,H14&lt;=7)</formula>
    </cfRule>
  </conditionalFormatting>
  <conditionalFormatting sqref="K13">
    <cfRule type="expression" dxfId="48" priority="40">
      <formula>AND(H14&gt;=1,H14&lt;=7)</formula>
    </cfRule>
  </conditionalFormatting>
  <conditionalFormatting sqref="L13">
    <cfRule type="expression" dxfId="47" priority="39">
      <formula>AND(H14&gt;=1,H14&lt;=7)</formula>
    </cfRule>
  </conditionalFormatting>
  <conditionalFormatting sqref="M13">
    <cfRule type="expression" dxfId="46" priority="38">
      <formula>AND(H14&gt;=1,H14&lt;=7)</formula>
    </cfRule>
  </conditionalFormatting>
  <conditionalFormatting sqref="N13">
    <cfRule type="expression" dxfId="45" priority="37">
      <formula>AND(H14&gt;=1,H14&lt;=7)</formula>
    </cfRule>
  </conditionalFormatting>
  <conditionalFormatting sqref="O13">
    <cfRule type="expression" dxfId="44" priority="36">
      <formula>AND(H14&gt;=1,H14&lt;=7)</formula>
    </cfRule>
  </conditionalFormatting>
  <conditionalFormatting sqref="P13">
    <cfRule type="expression" dxfId="43" priority="35">
      <formula>AND(H14&gt;=1,H14&lt;=7)</formula>
    </cfRule>
  </conditionalFormatting>
  <conditionalFormatting sqref="A14:E14">
    <cfRule type="expression" dxfId="42" priority="34">
      <formula>AND(H14&gt;=1,H14&lt;=7)</formula>
    </cfRule>
  </conditionalFormatting>
  <conditionalFormatting sqref="H14:P14">
    <cfRule type="expression" dxfId="41" priority="33">
      <formula>AND(H14&gt;=1,H14&lt;=7)</formula>
    </cfRule>
  </conditionalFormatting>
  <conditionalFormatting sqref="A16:G16 A17 F17:P17">
    <cfRule type="expression" dxfId="40" priority="32">
      <formula>AND($H18&gt;=1,$H18&lt;=7)</formula>
    </cfRule>
  </conditionalFormatting>
  <conditionalFormatting sqref="A16:F16">
    <cfRule type="expression" dxfId="39" priority="31">
      <formula>AND(H17&gt;=1,H17&lt;=7)</formula>
    </cfRule>
  </conditionalFormatting>
  <conditionalFormatting sqref="G16">
    <cfRule type="expression" dxfId="38" priority="30">
      <formula>AND(H17&gt;=1,H17&lt;=7)</formula>
    </cfRule>
  </conditionalFormatting>
  <conditionalFormatting sqref="A17:E17">
    <cfRule type="expression" dxfId="37" priority="29">
      <formula>AND(H17&gt;=1,H17&lt;=7)</formula>
    </cfRule>
  </conditionalFormatting>
  <conditionalFormatting sqref="H17:P17">
    <cfRule type="expression" dxfId="36" priority="28">
      <formula>AND(H17&gt;=1,H17&lt;=7)</formula>
    </cfRule>
  </conditionalFormatting>
  <conditionalFormatting sqref="A19:G19 A20 F20:P20">
    <cfRule type="expression" dxfId="35" priority="27">
      <formula>AND($H21&gt;=1,$H21&lt;=7)</formula>
    </cfRule>
  </conditionalFormatting>
  <conditionalFormatting sqref="A19:F19">
    <cfRule type="expression" dxfId="34" priority="26">
      <formula>AND(H20&gt;=1,H20&lt;=7)</formula>
    </cfRule>
  </conditionalFormatting>
  <conditionalFormatting sqref="G19">
    <cfRule type="expression" dxfId="33" priority="25">
      <formula>AND(H20&gt;=1,H20&lt;=7)</formula>
    </cfRule>
  </conditionalFormatting>
  <conditionalFormatting sqref="A20:E20">
    <cfRule type="expression" dxfId="32" priority="24">
      <formula>AND(H20&gt;=1,H20&lt;=7)</formula>
    </cfRule>
  </conditionalFormatting>
  <conditionalFormatting sqref="H20:P20">
    <cfRule type="expression" dxfId="31" priority="23">
      <formula>AND(H20&gt;=1,H20&lt;=7)</formula>
    </cfRule>
  </conditionalFormatting>
  <conditionalFormatting sqref="H16:P16">
    <cfRule type="expression" dxfId="30" priority="22">
      <formula>AND($H18&gt;=1,$H18&lt;=7)</formula>
    </cfRule>
  </conditionalFormatting>
  <conditionalFormatting sqref="H16">
    <cfRule type="expression" dxfId="29" priority="21">
      <formula>AND(H17&gt;=1,H17&lt;=7)</formula>
    </cfRule>
  </conditionalFormatting>
  <conditionalFormatting sqref="I16">
    <cfRule type="expression" dxfId="28" priority="20">
      <formula>AND(H17&gt;=1,H17&lt;=7)</formula>
    </cfRule>
  </conditionalFormatting>
  <conditionalFormatting sqref="J16">
    <cfRule type="expression" dxfId="27" priority="19">
      <formula>AND(H17&gt;=1,H17&lt;=7)</formula>
    </cfRule>
  </conditionalFormatting>
  <conditionalFormatting sqref="K16">
    <cfRule type="expression" dxfId="26" priority="18">
      <formula>AND(H17&gt;=1,H17&lt;=7)</formula>
    </cfRule>
  </conditionalFormatting>
  <conditionalFormatting sqref="L16">
    <cfRule type="expression" dxfId="25" priority="17">
      <formula>AND(H17&gt;=1,H17&lt;=7)</formula>
    </cfRule>
  </conditionalFormatting>
  <conditionalFormatting sqref="M16">
    <cfRule type="expression" dxfId="24" priority="16">
      <formula>AND(H17&gt;=1,H17&lt;=7)</formula>
    </cfRule>
  </conditionalFormatting>
  <conditionalFormatting sqref="N16">
    <cfRule type="expression" dxfId="23" priority="15">
      <formula>AND(H17&gt;=1,H17&lt;=7)</formula>
    </cfRule>
  </conditionalFormatting>
  <conditionalFormatting sqref="O16">
    <cfRule type="expression" dxfId="22" priority="14">
      <formula>AND(H17&gt;=1,H17&lt;=7)</formula>
    </cfRule>
  </conditionalFormatting>
  <conditionalFormatting sqref="P16">
    <cfRule type="expression" dxfId="21" priority="13">
      <formula>AND(H17&gt;=1,H17&lt;=7)</formula>
    </cfRule>
  </conditionalFormatting>
  <conditionalFormatting sqref="H19:P19">
    <cfRule type="expression" dxfId="20" priority="12">
      <formula>AND($H21&gt;=1,$H21&lt;=7)</formula>
    </cfRule>
  </conditionalFormatting>
  <conditionalFormatting sqref="H19">
    <cfRule type="expression" dxfId="19" priority="11">
      <formula>AND(H20&gt;=1,H20&lt;=7)</formula>
    </cfRule>
  </conditionalFormatting>
  <conditionalFormatting sqref="I19">
    <cfRule type="expression" dxfId="18" priority="10">
      <formula>AND(H20&gt;=1,H20&lt;=7)</formula>
    </cfRule>
  </conditionalFormatting>
  <conditionalFormatting sqref="J19">
    <cfRule type="expression" dxfId="17" priority="9">
      <formula>AND(H20&gt;=1,H20&lt;=7)</formula>
    </cfRule>
  </conditionalFormatting>
  <conditionalFormatting sqref="K19">
    <cfRule type="expression" dxfId="16" priority="8">
      <formula>AND(H20&gt;=1,H20&lt;=7)</formula>
    </cfRule>
  </conditionalFormatting>
  <conditionalFormatting sqref="L19">
    <cfRule type="expression" dxfId="15" priority="7">
      <formula>AND(H20&gt;=1,H20&lt;=7)</formula>
    </cfRule>
  </conditionalFormatting>
  <conditionalFormatting sqref="M19">
    <cfRule type="expression" dxfId="14" priority="6">
      <formula>AND(H20&gt;=1,H20&lt;=7)</formula>
    </cfRule>
  </conditionalFormatting>
  <conditionalFormatting sqref="N19">
    <cfRule type="expression" dxfId="13" priority="5">
      <formula>AND(H20&gt;=1,H20&lt;=7)</formula>
    </cfRule>
  </conditionalFormatting>
  <conditionalFormatting sqref="O19">
    <cfRule type="expression" dxfId="12" priority="4">
      <formula>AND(H20&gt;=1,H20&lt;=7)</formula>
    </cfRule>
  </conditionalFormatting>
  <conditionalFormatting sqref="P19">
    <cfRule type="expression" dxfId="11" priority="3">
      <formula>AND(H20&gt;=1,H20&lt;=7)</formula>
    </cfRule>
  </conditionalFormatting>
  <conditionalFormatting sqref="A13:F13">
    <cfRule type="expression" dxfId="10" priority="2">
      <formula>AND($H15&gt;=1,$H15&lt;=7)</formula>
    </cfRule>
  </conditionalFormatting>
  <conditionalFormatting sqref="A13:F13">
    <cfRule type="expression" dxfId="9" priority="1">
      <formula>AND(H14&gt;=1,H14&lt;=7)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74"/>
  <sheetViews>
    <sheetView showGridLines="0" workbookViewId="0">
      <selection activeCell="S8" sqref="S8"/>
    </sheetView>
  </sheetViews>
  <sheetFormatPr defaultRowHeight="15" x14ac:dyDescent="0.25"/>
  <cols>
    <col min="8" max="8" width="12.140625" customWidth="1"/>
    <col min="16" max="16" width="12.7109375" bestFit="1" customWidth="1"/>
  </cols>
  <sheetData>
    <row r="1" spans="1:16" ht="21" x14ac:dyDescent="0.35">
      <c r="A1" s="8" t="s">
        <v>14</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84" t="s">
        <v>15</v>
      </c>
      <c r="B3" s="84"/>
      <c r="C3" s="84"/>
      <c r="D3" s="84"/>
      <c r="E3" s="84"/>
      <c r="F3" s="84"/>
      <c r="H3" s="16" t="s">
        <v>17</v>
      </c>
      <c r="I3" s="14">
        <v>1</v>
      </c>
      <c r="J3" s="14">
        <v>2</v>
      </c>
      <c r="K3" s="14">
        <v>3</v>
      </c>
      <c r="L3" s="14">
        <v>4</v>
      </c>
      <c r="M3" s="14">
        <v>5</v>
      </c>
      <c r="N3" s="14">
        <v>6</v>
      </c>
      <c r="O3" s="14">
        <v>7</v>
      </c>
      <c r="P3" s="16" t="s">
        <v>18</v>
      </c>
    </row>
    <row r="4" spans="1:16" ht="15" customHeight="1" x14ac:dyDescent="0.25">
      <c r="A4" s="63"/>
      <c r="B4" s="63"/>
      <c r="C4" s="63"/>
      <c r="D4" s="63"/>
      <c r="E4" s="63"/>
      <c r="F4" s="55" t="s">
        <v>4</v>
      </c>
      <c r="G4" s="56"/>
      <c r="H4" s="85">
        <v>1</v>
      </c>
      <c r="I4" s="85"/>
      <c r="J4" s="85"/>
      <c r="K4" s="85"/>
      <c r="L4" s="85"/>
      <c r="M4" s="85"/>
      <c r="N4" s="85"/>
      <c r="O4" s="85"/>
      <c r="P4" s="85"/>
    </row>
    <row r="5" spans="1:16" ht="15" customHeight="1" x14ac:dyDescent="0.25"/>
    <row r="6" spans="1:16" ht="15" customHeight="1" x14ac:dyDescent="0.25"/>
    <row r="7" spans="1:16" ht="54.75" customHeight="1" x14ac:dyDescent="0.25">
      <c r="A7" s="84" t="s">
        <v>16</v>
      </c>
      <c r="B7" s="84"/>
      <c r="C7" s="84"/>
      <c r="D7" s="84"/>
      <c r="E7" s="84"/>
      <c r="F7" s="84"/>
      <c r="G7" s="17"/>
      <c r="H7" s="16" t="s">
        <v>19</v>
      </c>
      <c r="I7" s="14">
        <v>1</v>
      </c>
      <c r="J7" s="14">
        <v>2</v>
      </c>
      <c r="K7" s="14">
        <v>3</v>
      </c>
      <c r="L7" s="14">
        <v>4</v>
      </c>
      <c r="M7" s="14">
        <v>5</v>
      </c>
      <c r="N7" s="14">
        <v>6</v>
      </c>
      <c r="O7" s="14">
        <v>7</v>
      </c>
      <c r="P7" s="16" t="s">
        <v>20</v>
      </c>
    </row>
    <row r="8" spans="1:16" ht="15.75" x14ac:dyDescent="0.25">
      <c r="A8" s="63"/>
      <c r="B8" s="63"/>
      <c r="C8" s="63"/>
      <c r="D8" s="63"/>
      <c r="E8" s="63"/>
      <c r="F8" s="55" t="s">
        <v>4</v>
      </c>
      <c r="G8" s="56"/>
      <c r="H8" s="85">
        <v>5</v>
      </c>
      <c r="I8" s="85"/>
      <c r="J8" s="85"/>
      <c r="K8" s="85"/>
      <c r="L8" s="85"/>
      <c r="M8" s="85"/>
      <c r="N8" s="85"/>
      <c r="O8" s="85"/>
      <c r="P8" s="85"/>
    </row>
    <row r="11" spans="1:16" ht="21.75" customHeight="1" x14ac:dyDescent="0.25">
      <c r="A11" s="86" t="s">
        <v>21</v>
      </c>
      <c r="B11" s="86"/>
      <c r="C11" s="86"/>
      <c r="D11" s="86"/>
      <c r="E11" s="86"/>
      <c r="F11" s="86"/>
      <c r="G11" s="86"/>
      <c r="H11" s="86"/>
      <c r="I11" s="86"/>
      <c r="J11" s="86"/>
      <c r="K11" s="86"/>
      <c r="L11" s="86"/>
      <c r="M11" s="86"/>
      <c r="N11" s="86"/>
      <c r="O11" s="86"/>
      <c r="P11" s="86"/>
    </row>
    <row r="12" spans="1:16" ht="30" x14ac:dyDescent="0.25">
      <c r="A12" s="84" t="s">
        <v>22</v>
      </c>
      <c r="B12" s="84"/>
      <c r="C12" s="84"/>
      <c r="D12" s="84"/>
      <c r="E12" s="84"/>
      <c r="F12" s="84"/>
      <c r="G12" s="17"/>
      <c r="H12" s="16" t="s">
        <v>5</v>
      </c>
      <c r="I12" s="14">
        <v>1</v>
      </c>
      <c r="J12" s="14">
        <v>2</v>
      </c>
      <c r="K12" s="14">
        <v>3</v>
      </c>
      <c r="L12" s="14">
        <v>4</v>
      </c>
      <c r="M12" s="14">
        <v>5</v>
      </c>
      <c r="N12" s="14">
        <v>6</v>
      </c>
      <c r="O12" s="14">
        <v>7</v>
      </c>
      <c r="P12" s="16" t="s">
        <v>6</v>
      </c>
    </row>
    <row r="13" spans="1:16" ht="15.75" x14ac:dyDescent="0.25">
      <c r="A13" s="63"/>
      <c r="B13" s="63"/>
      <c r="C13" s="63"/>
      <c r="D13" s="63"/>
      <c r="E13" s="63"/>
      <c r="F13" s="55" t="s">
        <v>4</v>
      </c>
      <c r="G13" s="56"/>
      <c r="H13" s="85"/>
      <c r="I13" s="85"/>
      <c r="J13" s="85"/>
      <c r="K13" s="85"/>
      <c r="L13" s="85"/>
      <c r="M13" s="85"/>
      <c r="N13" s="85"/>
      <c r="O13" s="85"/>
      <c r="P13" s="85"/>
    </row>
    <row r="16" spans="1:16" ht="48" customHeight="1" x14ac:dyDescent="0.25">
      <c r="A16" s="84" t="s">
        <v>23</v>
      </c>
      <c r="B16" s="84"/>
      <c r="C16" s="84"/>
      <c r="D16" s="84"/>
      <c r="E16" s="84"/>
      <c r="F16" s="84"/>
      <c r="G16" s="17"/>
      <c r="H16" s="16" t="s">
        <v>5</v>
      </c>
      <c r="I16" s="14">
        <v>1</v>
      </c>
      <c r="J16" s="14">
        <v>2</v>
      </c>
      <c r="K16" s="14">
        <v>3</v>
      </c>
      <c r="L16" s="14">
        <v>4</v>
      </c>
      <c r="M16" s="14">
        <v>5</v>
      </c>
      <c r="N16" s="14">
        <v>6</v>
      </c>
      <c r="O16" s="14">
        <v>7</v>
      </c>
      <c r="P16" s="16" t="s">
        <v>6</v>
      </c>
    </row>
    <row r="17" spans="1:16" ht="15.75" x14ac:dyDescent="0.25">
      <c r="A17" s="63"/>
      <c r="B17" s="63"/>
      <c r="C17" s="63"/>
      <c r="D17" s="63"/>
      <c r="E17" s="63"/>
      <c r="F17" s="55" t="s">
        <v>4</v>
      </c>
      <c r="G17" s="56"/>
      <c r="H17" s="85"/>
      <c r="I17" s="85"/>
      <c r="J17" s="85"/>
      <c r="K17" s="85"/>
      <c r="L17" s="85"/>
      <c r="M17" s="85"/>
      <c r="N17" s="85"/>
      <c r="O17" s="85"/>
      <c r="P17" s="85"/>
    </row>
    <row r="18" spans="1:16" x14ac:dyDescent="0.25">
      <c r="A18" s="63"/>
      <c r="B18" s="63"/>
      <c r="C18" s="63"/>
      <c r="D18" s="63"/>
      <c r="E18" s="63"/>
      <c r="F18" s="63"/>
      <c r="G18" s="63"/>
      <c r="H18" s="63"/>
      <c r="I18" s="63"/>
      <c r="J18" s="63"/>
      <c r="K18" s="63"/>
      <c r="L18" s="63"/>
      <c r="M18" s="63"/>
      <c r="N18" s="63"/>
      <c r="O18" s="63"/>
    </row>
    <row r="19" spans="1:16" x14ac:dyDescent="0.25">
      <c r="A19" s="63"/>
      <c r="B19" s="63"/>
      <c r="C19" s="63"/>
      <c r="D19" s="63"/>
      <c r="E19" s="63"/>
      <c r="F19" s="63"/>
      <c r="G19" s="63"/>
      <c r="H19" s="63"/>
      <c r="I19" s="63"/>
      <c r="J19" s="63"/>
      <c r="K19" s="63"/>
      <c r="L19" s="63"/>
      <c r="M19" s="63"/>
      <c r="N19" s="63"/>
      <c r="O19" s="63"/>
    </row>
    <row r="20" spans="1:16" x14ac:dyDescent="0.25">
      <c r="A20" s="63"/>
      <c r="B20" s="63"/>
      <c r="C20" s="63"/>
      <c r="D20" s="63"/>
      <c r="E20" s="63"/>
      <c r="F20" s="63"/>
      <c r="G20" s="63"/>
      <c r="H20" s="63"/>
      <c r="I20" s="63"/>
      <c r="J20" s="63"/>
      <c r="K20" s="63"/>
      <c r="L20" s="63"/>
      <c r="M20" s="63"/>
      <c r="N20" s="63"/>
      <c r="O20" s="63"/>
    </row>
    <row r="21" spans="1:16" x14ac:dyDescent="0.25">
      <c r="A21" s="63"/>
      <c r="B21" s="63"/>
      <c r="C21" s="63"/>
      <c r="D21" s="63"/>
      <c r="E21" s="63"/>
      <c r="F21" s="63"/>
      <c r="G21" s="63"/>
      <c r="H21" s="63"/>
      <c r="I21" s="63"/>
      <c r="J21" s="63"/>
      <c r="K21" s="63"/>
      <c r="L21" s="63"/>
      <c r="M21" s="63"/>
      <c r="N21" s="63"/>
      <c r="O21" s="63"/>
    </row>
    <row r="22" spans="1:16" x14ac:dyDescent="0.25">
      <c r="A22" s="63"/>
      <c r="B22" s="63"/>
      <c r="C22" s="63"/>
      <c r="D22" s="63"/>
      <c r="E22" s="63"/>
      <c r="F22" s="63"/>
      <c r="G22" s="63"/>
      <c r="H22" s="63"/>
      <c r="I22" s="63"/>
      <c r="J22" s="63"/>
      <c r="K22" s="63"/>
      <c r="L22" s="63"/>
      <c r="M22" s="63"/>
      <c r="N22" s="63"/>
      <c r="O22" s="63"/>
    </row>
    <row r="23" spans="1:16" x14ac:dyDescent="0.25">
      <c r="A23" s="63"/>
      <c r="B23" s="63"/>
      <c r="C23" s="63"/>
      <c r="D23" s="63"/>
      <c r="E23" s="63"/>
      <c r="F23" s="63"/>
      <c r="G23" s="63"/>
      <c r="H23" s="63"/>
      <c r="I23" s="63"/>
      <c r="J23" s="63"/>
      <c r="K23" s="63"/>
      <c r="L23" s="63"/>
      <c r="M23" s="63"/>
      <c r="N23" s="63"/>
      <c r="O23" s="63"/>
    </row>
    <row r="24" spans="1:16" x14ac:dyDescent="0.25">
      <c r="A24" s="63"/>
      <c r="B24" s="63"/>
      <c r="C24" s="63"/>
      <c r="D24" s="63"/>
      <c r="E24" s="63"/>
      <c r="F24" s="63"/>
      <c r="G24" s="63"/>
      <c r="H24" s="63"/>
      <c r="I24" s="63"/>
      <c r="J24" s="63"/>
      <c r="K24" s="63"/>
      <c r="L24" s="63"/>
      <c r="M24" s="63"/>
      <c r="N24" s="63"/>
      <c r="O24" s="63"/>
    </row>
    <row r="25" spans="1:16" x14ac:dyDescent="0.25">
      <c r="A25" s="63"/>
      <c r="B25" s="63"/>
      <c r="C25" s="63"/>
      <c r="D25" s="63"/>
      <c r="E25" s="63"/>
      <c r="F25" s="63"/>
      <c r="G25" s="63"/>
      <c r="H25" s="63"/>
      <c r="I25" s="63"/>
      <c r="J25" s="63"/>
      <c r="K25" s="63"/>
      <c r="L25" s="63"/>
      <c r="M25" s="63"/>
      <c r="N25" s="63"/>
      <c r="O25" s="63"/>
    </row>
    <row r="26" spans="1:16" x14ac:dyDescent="0.25">
      <c r="A26" s="63"/>
      <c r="B26" s="63"/>
      <c r="C26" s="63"/>
      <c r="D26" s="63"/>
      <c r="E26" s="63"/>
      <c r="F26" s="63"/>
      <c r="G26" s="63"/>
      <c r="H26" s="63"/>
      <c r="I26" s="63"/>
      <c r="J26" s="63"/>
      <c r="K26" s="63"/>
      <c r="L26" s="63"/>
      <c r="M26" s="63"/>
      <c r="N26" s="63"/>
      <c r="O26" s="63"/>
    </row>
    <row r="27" spans="1:16" x14ac:dyDescent="0.25">
      <c r="A27" s="63"/>
      <c r="B27" s="63"/>
      <c r="C27" s="63"/>
      <c r="D27" s="63"/>
      <c r="E27" s="63"/>
      <c r="F27" s="63"/>
      <c r="G27" s="63"/>
      <c r="H27" s="63"/>
      <c r="I27" s="63"/>
      <c r="J27" s="63"/>
      <c r="K27" s="63"/>
      <c r="L27" s="63"/>
      <c r="M27" s="63"/>
      <c r="N27" s="63"/>
      <c r="O27" s="63"/>
    </row>
    <row r="28" spans="1:16" x14ac:dyDescent="0.25">
      <c r="A28" s="63"/>
      <c r="B28" s="63"/>
      <c r="C28" s="63"/>
      <c r="D28" s="63"/>
      <c r="E28" s="63"/>
      <c r="F28" s="63"/>
      <c r="G28" s="63"/>
      <c r="H28" s="63"/>
      <c r="I28" s="63"/>
      <c r="J28" s="63"/>
      <c r="K28" s="63"/>
      <c r="L28" s="63"/>
      <c r="M28" s="63"/>
      <c r="N28" s="63"/>
      <c r="O28" s="63"/>
    </row>
    <row r="29" spans="1:16" x14ac:dyDescent="0.25">
      <c r="A29" s="63"/>
      <c r="B29" s="63"/>
      <c r="C29" s="63"/>
      <c r="D29" s="63"/>
      <c r="E29" s="63"/>
      <c r="F29" s="63"/>
      <c r="G29" s="63"/>
      <c r="H29" s="63"/>
      <c r="I29" s="63"/>
      <c r="J29" s="63"/>
      <c r="K29" s="63"/>
      <c r="L29" s="63"/>
      <c r="M29" s="63"/>
      <c r="N29" s="63"/>
      <c r="O29" s="63"/>
    </row>
    <row r="30" spans="1:16" x14ac:dyDescent="0.25">
      <c r="A30" s="63"/>
      <c r="B30" s="63"/>
      <c r="C30" s="63"/>
      <c r="D30" s="63"/>
      <c r="E30" s="63"/>
      <c r="F30" s="63"/>
      <c r="G30" s="63"/>
      <c r="H30" s="63"/>
      <c r="I30" s="63"/>
      <c r="J30" s="63"/>
      <c r="K30" s="63"/>
      <c r="L30" s="63"/>
      <c r="M30" s="63"/>
      <c r="N30" s="63"/>
      <c r="O30" s="63"/>
    </row>
    <row r="31" spans="1:16" x14ac:dyDescent="0.25">
      <c r="A31" s="63"/>
      <c r="B31" s="63"/>
      <c r="C31" s="63"/>
      <c r="D31" s="63"/>
      <c r="E31" s="63"/>
      <c r="F31" s="63"/>
      <c r="G31" s="63"/>
      <c r="H31" s="63"/>
      <c r="I31" s="63"/>
      <c r="J31" s="63"/>
      <c r="K31" s="63"/>
      <c r="L31" s="63"/>
      <c r="M31" s="63"/>
      <c r="N31" s="63"/>
      <c r="O31" s="63"/>
    </row>
    <row r="32" spans="1:16"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row r="66" spans="1:15" x14ac:dyDescent="0.25">
      <c r="A66" s="63"/>
      <c r="B66" s="63"/>
      <c r="C66" s="63"/>
      <c r="D66" s="63"/>
      <c r="E66" s="63"/>
      <c r="F66" s="63"/>
      <c r="G66" s="63"/>
      <c r="H66" s="63"/>
      <c r="I66" s="63"/>
      <c r="J66" s="63"/>
      <c r="K66" s="63"/>
      <c r="L66" s="63"/>
      <c r="M66" s="63"/>
      <c r="N66" s="63"/>
      <c r="O66" s="63"/>
    </row>
    <row r="67" spans="1:15" x14ac:dyDescent="0.25">
      <c r="A67" s="63"/>
      <c r="B67" s="63"/>
      <c r="C67" s="63"/>
      <c r="D67" s="63"/>
      <c r="E67" s="63"/>
      <c r="F67" s="63"/>
      <c r="G67" s="63"/>
      <c r="H67" s="63"/>
      <c r="I67" s="63"/>
      <c r="J67" s="63"/>
      <c r="K67" s="63"/>
      <c r="L67" s="63"/>
      <c r="M67" s="63"/>
      <c r="N67" s="63"/>
      <c r="O67" s="63"/>
    </row>
    <row r="68" spans="1:15" x14ac:dyDescent="0.25">
      <c r="A68" s="63"/>
      <c r="B68" s="63"/>
      <c r="C68" s="63"/>
      <c r="D68" s="63"/>
      <c r="E68" s="63"/>
      <c r="F68" s="63"/>
      <c r="G68" s="63"/>
      <c r="H68" s="63"/>
      <c r="I68" s="63"/>
      <c r="J68" s="63"/>
      <c r="K68" s="63"/>
      <c r="L68" s="63"/>
      <c r="M68" s="63"/>
      <c r="N68" s="63"/>
      <c r="O68" s="63"/>
    </row>
    <row r="69" spans="1:15" x14ac:dyDescent="0.25">
      <c r="A69" s="63"/>
      <c r="B69" s="63"/>
      <c r="C69" s="63"/>
      <c r="D69" s="63"/>
      <c r="E69" s="63"/>
      <c r="F69" s="63"/>
      <c r="G69" s="63"/>
      <c r="H69" s="63"/>
      <c r="I69" s="63"/>
      <c r="J69" s="63"/>
      <c r="K69" s="63"/>
      <c r="L69" s="63"/>
      <c r="M69" s="63"/>
      <c r="N69" s="63"/>
      <c r="O69" s="63"/>
    </row>
    <row r="70" spans="1:15" x14ac:dyDescent="0.25">
      <c r="A70" s="63"/>
      <c r="B70" s="63"/>
      <c r="C70" s="63"/>
      <c r="D70" s="63"/>
      <c r="E70" s="63"/>
      <c r="F70" s="63"/>
      <c r="G70" s="63"/>
      <c r="H70" s="63"/>
      <c r="I70" s="63"/>
      <c r="J70" s="63"/>
      <c r="K70" s="63"/>
      <c r="L70" s="63"/>
      <c r="M70" s="63"/>
      <c r="N70" s="63"/>
      <c r="O70" s="63"/>
    </row>
    <row r="71" spans="1:15" x14ac:dyDescent="0.25">
      <c r="A71" s="63"/>
      <c r="B71" s="63"/>
      <c r="C71" s="63"/>
      <c r="D71" s="63"/>
      <c r="E71" s="63"/>
      <c r="F71" s="63"/>
      <c r="G71" s="63"/>
      <c r="H71" s="63"/>
      <c r="I71" s="63"/>
      <c r="J71" s="63"/>
      <c r="K71" s="63"/>
      <c r="L71" s="63"/>
      <c r="M71" s="63"/>
      <c r="N71" s="63"/>
      <c r="O71" s="63"/>
    </row>
    <row r="72" spans="1:15" x14ac:dyDescent="0.25">
      <c r="A72" s="63"/>
      <c r="B72" s="63"/>
      <c r="C72" s="63"/>
      <c r="D72" s="63"/>
      <c r="E72" s="63"/>
      <c r="F72" s="63"/>
      <c r="G72" s="63"/>
      <c r="H72" s="63"/>
      <c r="I72" s="63"/>
      <c r="J72" s="63"/>
      <c r="K72" s="63"/>
      <c r="L72" s="63"/>
      <c r="M72" s="63"/>
      <c r="N72" s="63"/>
      <c r="O72" s="63"/>
    </row>
    <row r="73" spans="1:15" x14ac:dyDescent="0.25">
      <c r="A73" s="63"/>
      <c r="B73" s="63"/>
      <c r="C73" s="63"/>
      <c r="D73" s="63"/>
      <c r="E73" s="63"/>
      <c r="F73" s="63"/>
      <c r="G73" s="63"/>
      <c r="H73" s="63"/>
      <c r="I73" s="63"/>
      <c r="J73" s="63"/>
      <c r="K73" s="63"/>
      <c r="L73" s="63"/>
      <c r="M73" s="63"/>
      <c r="N73" s="63"/>
      <c r="O73" s="63"/>
    </row>
    <row r="74" spans="1:15" x14ac:dyDescent="0.25">
      <c r="A74" s="63"/>
      <c r="B74" s="63"/>
      <c r="C74" s="63"/>
      <c r="D74" s="63"/>
      <c r="E74" s="63"/>
      <c r="F74" s="63"/>
      <c r="G74" s="63"/>
      <c r="H74" s="63"/>
      <c r="I74" s="63"/>
      <c r="J74" s="63"/>
      <c r="K74" s="63"/>
      <c r="L74" s="63"/>
      <c r="M74" s="63"/>
      <c r="N74" s="63"/>
      <c r="O74" s="63"/>
    </row>
  </sheetData>
  <mergeCells count="74">
    <mergeCell ref="A70:O70"/>
    <mergeCell ref="A71:O71"/>
    <mergeCell ref="A72:O72"/>
    <mergeCell ref="A73:O73"/>
    <mergeCell ref="A74:O74"/>
    <mergeCell ref="A64:O64"/>
    <mergeCell ref="A58:O58"/>
    <mergeCell ref="A59:O59"/>
    <mergeCell ref="A60:O60"/>
    <mergeCell ref="A61:O61"/>
    <mergeCell ref="A62:O62"/>
    <mergeCell ref="A63:O63"/>
    <mergeCell ref="A65:O65"/>
    <mergeCell ref="A66:O66"/>
    <mergeCell ref="A67:O67"/>
    <mergeCell ref="A68:O68"/>
    <mergeCell ref="A69:O69"/>
    <mergeCell ref="A57:O57"/>
    <mergeCell ref="A46:O46"/>
    <mergeCell ref="A47:O47"/>
    <mergeCell ref="A48:O48"/>
    <mergeCell ref="A49:O49"/>
    <mergeCell ref="A50:O50"/>
    <mergeCell ref="A51:O51"/>
    <mergeCell ref="A52:O52"/>
    <mergeCell ref="A53:O53"/>
    <mergeCell ref="A54:O54"/>
    <mergeCell ref="A55:O55"/>
    <mergeCell ref="A56:O56"/>
    <mergeCell ref="A45:O45"/>
    <mergeCell ref="A34:O34"/>
    <mergeCell ref="A35:O35"/>
    <mergeCell ref="A36:O36"/>
    <mergeCell ref="A37:O37"/>
    <mergeCell ref="A38:O38"/>
    <mergeCell ref="A39:O39"/>
    <mergeCell ref="A40:O40"/>
    <mergeCell ref="A41:O41"/>
    <mergeCell ref="A42:O42"/>
    <mergeCell ref="A43:O43"/>
    <mergeCell ref="A44:O44"/>
    <mergeCell ref="A33:O33"/>
    <mergeCell ref="A22:O22"/>
    <mergeCell ref="A23:O23"/>
    <mergeCell ref="A24:O24"/>
    <mergeCell ref="A25:O25"/>
    <mergeCell ref="A26:O26"/>
    <mergeCell ref="A27:O27"/>
    <mergeCell ref="A28:O28"/>
    <mergeCell ref="A29:O29"/>
    <mergeCell ref="A30:O30"/>
    <mergeCell ref="A31:O31"/>
    <mergeCell ref="A32:O32"/>
    <mergeCell ref="A18:O18"/>
    <mergeCell ref="A19:O19"/>
    <mergeCell ref="A20:O20"/>
    <mergeCell ref="A21:O21"/>
    <mergeCell ref="A7:F7"/>
    <mergeCell ref="F8:G8"/>
    <mergeCell ref="H8:P8"/>
    <mergeCell ref="A11:P11"/>
    <mergeCell ref="A12:F12"/>
    <mergeCell ref="F13:G13"/>
    <mergeCell ref="H13:P13"/>
    <mergeCell ref="A13:E13"/>
    <mergeCell ref="A17:E17"/>
    <mergeCell ref="A8:E8"/>
    <mergeCell ref="A3:F3"/>
    <mergeCell ref="F4:G4"/>
    <mergeCell ref="H4:P4"/>
    <mergeCell ref="A16:F16"/>
    <mergeCell ref="F17:G17"/>
    <mergeCell ref="H17:P17"/>
    <mergeCell ref="A4:E4"/>
  </mergeCells>
  <conditionalFormatting sqref="A3:P3 A4:E4">
    <cfRule type="expression" dxfId="8" priority="4">
      <formula>AND($H$4&gt;=1,$H$4&lt;=7)</formula>
    </cfRule>
  </conditionalFormatting>
  <conditionalFormatting sqref="A7:P7 A8:E8">
    <cfRule type="expression" dxfId="7" priority="3">
      <formula>AND($H$8&gt;=1,$H$8&lt;=7)</formula>
    </cfRule>
  </conditionalFormatting>
  <conditionalFormatting sqref="A12:P12 A13:E13">
    <cfRule type="expression" dxfId="6" priority="2">
      <formula>AND($H$13&gt;=1,$H$13&lt;=7)</formula>
    </cfRule>
  </conditionalFormatting>
  <conditionalFormatting sqref="A16:P16 A17:E17">
    <cfRule type="expression" dxfId="5" priority="1">
      <formula>AND($H$17&gt;=1,$H$17&lt;=7)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A9" sqref="A9:O9"/>
    </sheetView>
  </sheetViews>
  <sheetFormatPr defaultRowHeight="15" x14ac:dyDescent="0.25"/>
  <cols>
    <col min="8" max="8" width="12.140625" customWidth="1"/>
    <col min="16" max="16" width="12.7109375" bestFit="1" customWidth="1"/>
  </cols>
  <sheetData>
    <row r="1" spans="1:16" ht="21" x14ac:dyDescent="0.35">
      <c r="A1" s="8" t="s">
        <v>56</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84" t="s">
        <v>24</v>
      </c>
      <c r="B3" s="84"/>
      <c r="C3" s="84"/>
      <c r="D3" s="84"/>
      <c r="E3" s="84"/>
      <c r="F3" s="84"/>
      <c r="G3" s="17"/>
      <c r="H3" s="16" t="s">
        <v>5</v>
      </c>
      <c r="I3" s="14">
        <v>1</v>
      </c>
      <c r="J3" s="14">
        <v>2</v>
      </c>
      <c r="K3" s="14">
        <v>3</v>
      </c>
      <c r="L3" s="14">
        <v>4</v>
      </c>
      <c r="M3" s="14">
        <v>5</v>
      </c>
      <c r="N3" s="14">
        <v>6</v>
      </c>
      <c r="O3" s="14">
        <v>7</v>
      </c>
      <c r="P3" s="16" t="s">
        <v>6</v>
      </c>
    </row>
    <row r="4" spans="1:16" ht="15.75" x14ac:dyDescent="0.25">
      <c r="A4" s="16"/>
      <c r="B4" s="16"/>
      <c r="C4" s="16"/>
      <c r="D4" s="16"/>
      <c r="E4" s="16"/>
      <c r="F4" s="55" t="s">
        <v>4</v>
      </c>
      <c r="G4" s="56"/>
      <c r="H4" s="85">
        <v>2</v>
      </c>
      <c r="I4" s="85"/>
      <c r="J4" s="85"/>
      <c r="K4" s="85"/>
      <c r="L4" s="85"/>
      <c r="M4" s="85"/>
      <c r="N4" s="85"/>
      <c r="O4" s="85"/>
      <c r="P4" s="85"/>
    </row>
    <row r="7" spans="1:16" ht="30" x14ac:dyDescent="0.25">
      <c r="A7" s="84" t="s">
        <v>25</v>
      </c>
      <c r="B7" s="84"/>
      <c r="C7" s="84"/>
      <c r="D7" s="84"/>
      <c r="E7" s="84"/>
      <c r="F7" s="84"/>
      <c r="G7" s="17"/>
      <c r="H7" s="16" t="s">
        <v>5</v>
      </c>
      <c r="I7" s="14">
        <v>1</v>
      </c>
      <c r="J7" s="14">
        <v>2</v>
      </c>
      <c r="K7" s="14">
        <v>3</v>
      </c>
      <c r="L7" s="14">
        <v>4</v>
      </c>
      <c r="M7" s="14">
        <v>5</v>
      </c>
      <c r="N7" s="14">
        <v>6</v>
      </c>
      <c r="O7" s="14">
        <v>7</v>
      </c>
      <c r="P7" s="16" t="s">
        <v>6</v>
      </c>
    </row>
    <row r="8" spans="1:16" ht="15.75" x14ac:dyDescent="0.25">
      <c r="A8" s="16"/>
      <c r="B8" s="16"/>
      <c r="C8" s="16"/>
      <c r="D8" s="16"/>
      <c r="E8" s="16"/>
      <c r="F8" s="55" t="s">
        <v>4</v>
      </c>
      <c r="G8" s="56"/>
      <c r="H8" s="85">
        <v>3</v>
      </c>
      <c r="I8" s="85"/>
      <c r="J8" s="85"/>
      <c r="K8" s="85"/>
      <c r="L8" s="85"/>
      <c r="M8" s="85"/>
      <c r="N8" s="85"/>
      <c r="O8" s="85"/>
      <c r="P8" s="85"/>
    </row>
    <row r="9" spans="1:16" x14ac:dyDescent="0.25">
      <c r="A9" s="63"/>
      <c r="B9" s="63"/>
      <c r="C9" s="63"/>
      <c r="D9" s="63"/>
      <c r="E9" s="63"/>
      <c r="F9" s="63"/>
      <c r="G9" s="63"/>
      <c r="H9" s="63"/>
      <c r="I9" s="63"/>
      <c r="J9" s="63"/>
      <c r="K9" s="63"/>
      <c r="L9" s="63"/>
      <c r="M9" s="63"/>
      <c r="N9" s="63"/>
      <c r="O9" s="63"/>
    </row>
    <row r="12" spans="1:16" ht="30" customHeight="1" x14ac:dyDescent="0.25"/>
    <row r="15" spans="1:16" ht="30" customHeight="1" x14ac:dyDescent="0.25"/>
    <row r="18" spans="1:15" ht="30" customHeight="1" x14ac:dyDescent="0.25"/>
    <row r="21" spans="1:15" ht="30" customHeight="1" x14ac:dyDescent="0.25"/>
    <row r="24" spans="1:15" ht="30" customHeight="1" x14ac:dyDescent="0.25"/>
    <row r="27" spans="1:15" ht="30" customHeight="1" x14ac:dyDescent="0.25"/>
    <row r="29" spans="1:15" x14ac:dyDescent="0.25">
      <c r="A29" s="63"/>
      <c r="B29" s="63"/>
      <c r="C29" s="63"/>
      <c r="D29" s="63"/>
      <c r="E29" s="63"/>
      <c r="F29" s="63"/>
      <c r="G29" s="63"/>
      <c r="H29" s="63"/>
      <c r="I29" s="63"/>
      <c r="J29" s="63"/>
      <c r="K29" s="63"/>
      <c r="L29" s="63"/>
      <c r="M29" s="63"/>
      <c r="N29" s="63"/>
      <c r="O29" s="63"/>
    </row>
    <row r="30" spans="1:15" x14ac:dyDescent="0.25">
      <c r="A30" s="3"/>
      <c r="B30" s="3"/>
      <c r="C30" s="3"/>
      <c r="D30" s="3"/>
      <c r="E30" s="3"/>
      <c r="F30" s="3"/>
      <c r="G30" s="3"/>
      <c r="H30" s="3"/>
      <c r="I30" s="3"/>
      <c r="J30" s="3"/>
      <c r="K30" s="3"/>
      <c r="L30" s="3"/>
      <c r="M30" s="3"/>
      <c r="N30" s="3"/>
      <c r="O30" s="3"/>
    </row>
    <row r="31" spans="1:15" x14ac:dyDescent="0.25">
      <c r="A31" s="3"/>
      <c r="B31" s="3"/>
      <c r="C31" s="3"/>
      <c r="D31" s="3"/>
      <c r="E31" s="3"/>
      <c r="F31" s="3"/>
      <c r="G31" s="3"/>
      <c r="H31" s="3"/>
      <c r="I31" s="3"/>
      <c r="J31" s="3"/>
      <c r="K31" s="3"/>
      <c r="L31" s="3"/>
      <c r="M31" s="3"/>
      <c r="N31" s="3"/>
      <c r="O31" s="3"/>
    </row>
    <row r="32" spans="1:15" x14ac:dyDescent="0.25">
      <c r="A32" s="3"/>
      <c r="B32" s="3"/>
      <c r="C32" s="3"/>
      <c r="D32" s="3"/>
      <c r="E32" s="3"/>
      <c r="F32" s="3"/>
      <c r="G32" s="3"/>
      <c r="H32" s="3"/>
      <c r="I32" s="3"/>
      <c r="J32" s="3"/>
      <c r="K32" s="38" t="s">
        <v>67</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33">
    <mergeCell ref="A56:O56"/>
    <mergeCell ref="A51:O51"/>
    <mergeCell ref="A52:O52"/>
    <mergeCell ref="A53:O53"/>
    <mergeCell ref="A54:O54"/>
    <mergeCell ref="A55:O55"/>
    <mergeCell ref="A46:O46"/>
    <mergeCell ref="A47:O47"/>
    <mergeCell ref="A48:O48"/>
    <mergeCell ref="A49:O49"/>
    <mergeCell ref="A50:O50"/>
    <mergeCell ref="A65:O65"/>
    <mergeCell ref="A57:O57"/>
    <mergeCell ref="A58:O58"/>
    <mergeCell ref="A59:O59"/>
    <mergeCell ref="A60:O60"/>
    <mergeCell ref="A61:O61"/>
    <mergeCell ref="A62:O62"/>
    <mergeCell ref="A63:O63"/>
    <mergeCell ref="A64:O64"/>
    <mergeCell ref="A45:O45"/>
    <mergeCell ref="A42:O42"/>
    <mergeCell ref="A43:O43"/>
    <mergeCell ref="A44:O44"/>
    <mergeCell ref="A29:O29"/>
    <mergeCell ref="A41:O41"/>
    <mergeCell ref="A9:O9"/>
    <mergeCell ref="A3:F3"/>
    <mergeCell ref="F4:G4"/>
    <mergeCell ref="H4:P4"/>
    <mergeCell ref="A7:F7"/>
    <mergeCell ref="F8:G8"/>
    <mergeCell ref="H8:P8"/>
  </mergeCells>
  <conditionalFormatting sqref="A3:P3 A4:E4">
    <cfRule type="expression" dxfId="4" priority="27">
      <formula>AND($H4&gt;=1,$H4&lt;=7)</formula>
    </cfRule>
  </conditionalFormatting>
  <conditionalFormatting sqref="A7:P7">
    <cfRule type="expression" dxfId="3" priority="24">
      <formula>AND($H8&gt;=1,$H8&lt;=7)</formula>
    </cfRule>
  </conditionalFormatting>
  <conditionalFormatting sqref="A4:E4">
    <cfRule type="expression" dxfId="2" priority="17">
      <formula>AND($H4&gt;=1,$H4&lt;=7)</formula>
    </cfRule>
  </conditionalFormatting>
  <conditionalFormatting sqref="A8:E8">
    <cfRule type="expression" dxfId="1" priority="14">
      <formula>AND($H9&gt;=1,$H9&lt;=7)</formula>
    </cfRule>
  </conditionalFormatting>
  <conditionalFormatting sqref="A8:E8">
    <cfRule type="expression" dxfId="0" priority="13">
      <formula>AND($H8&gt;=1,$H8&lt;=7)</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N39" sqref="N39"/>
    </sheetView>
  </sheetViews>
  <sheetFormatPr defaultRowHeight="15" x14ac:dyDescent="0.25"/>
  <cols>
    <col min="1" max="1" width="11.5703125" bestFit="1" customWidth="1"/>
    <col min="2" max="2" width="19.28515625" customWidth="1"/>
  </cols>
  <sheetData>
    <row r="1" spans="1:6" x14ac:dyDescent="0.25">
      <c r="A1" s="22" t="s">
        <v>27</v>
      </c>
      <c r="B1" s="23">
        <v>1.9675925925925928E-3</v>
      </c>
    </row>
    <row r="2" spans="1:6" x14ac:dyDescent="0.25">
      <c r="A2" s="22" t="s">
        <v>28</v>
      </c>
      <c r="B2" s="23">
        <v>1.8171296296296297E-3</v>
      </c>
    </row>
    <row r="3" spans="1:6" x14ac:dyDescent="0.25">
      <c r="A3" s="22" t="s">
        <v>29</v>
      </c>
      <c r="B3" s="23">
        <v>2.7430555555555559E-3</v>
      </c>
    </row>
    <row r="4" spans="1:6" x14ac:dyDescent="0.25">
      <c r="A4" s="22" t="s">
        <v>30</v>
      </c>
      <c r="B4" s="23">
        <v>2.1412037037037038E-3</v>
      </c>
    </row>
    <row r="5" spans="1:6" x14ac:dyDescent="0.25">
      <c r="A5" s="22" t="s">
        <v>31</v>
      </c>
      <c r="B5" s="23">
        <v>1.7939814814814815E-3</v>
      </c>
    </row>
    <row r="6" spans="1:6" x14ac:dyDescent="0.25">
      <c r="A6" s="22" t="s">
        <v>32</v>
      </c>
      <c r="B6" s="23">
        <v>8.1018518518518516E-4</v>
      </c>
    </row>
    <row r="7" spans="1:6" x14ac:dyDescent="0.25">
      <c r="A7" s="22" t="s">
        <v>33</v>
      </c>
      <c r="B7" s="23">
        <v>1.6435185185185183E-3</v>
      </c>
    </row>
    <row r="8" spans="1:6" x14ac:dyDescent="0.25">
      <c r="A8" s="22" t="s">
        <v>34</v>
      </c>
      <c r="B8" s="23">
        <v>1.5972222222222221E-3</v>
      </c>
    </row>
    <row r="11" spans="1:6" x14ac:dyDescent="0.25">
      <c r="F11" s="2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10"/>
  <sheetViews>
    <sheetView workbookViewId="0">
      <selection activeCell="D3" sqref="D3:D10"/>
    </sheetView>
  </sheetViews>
  <sheetFormatPr defaultRowHeight="15" x14ac:dyDescent="0.25"/>
  <cols>
    <col min="3" max="3" width="89" customWidth="1"/>
    <col min="4" max="4" width="119.140625" customWidth="1"/>
  </cols>
  <sheetData>
    <row r="1" spans="1:4" ht="19.5" thickBot="1" x14ac:dyDescent="0.35">
      <c r="A1" s="87" t="str">
        <f>Welcome!B1</f>
        <v>P9</v>
      </c>
      <c r="B1" s="87"/>
      <c r="C1" s="87"/>
      <c r="D1" s="87"/>
    </row>
    <row r="2" spans="1:4" ht="15.75" thickBot="1" x14ac:dyDescent="0.3">
      <c r="A2" s="40" t="s">
        <v>60</v>
      </c>
      <c r="B2" s="40" t="s">
        <v>61</v>
      </c>
      <c r="C2" s="40" t="s">
        <v>62</v>
      </c>
      <c r="D2" s="41" t="s">
        <v>63</v>
      </c>
    </row>
    <row r="3" spans="1:4" x14ac:dyDescent="0.25">
      <c r="A3" s="42" t="s">
        <v>27</v>
      </c>
      <c r="B3" s="43">
        <v>1</v>
      </c>
      <c r="C3" s="43"/>
      <c r="D3" s="44" t="s">
        <v>68</v>
      </c>
    </row>
    <row r="4" spans="1:4" x14ac:dyDescent="0.25">
      <c r="A4" s="45" t="s">
        <v>28</v>
      </c>
      <c r="B4" s="46">
        <v>1</v>
      </c>
      <c r="C4" s="46"/>
      <c r="D4" s="47" t="s">
        <v>69</v>
      </c>
    </row>
    <row r="5" spans="1:4" x14ac:dyDescent="0.25">
      <c r="A5" s="45" t="s">
        <v>29</v>
      </c>
      <c r="B5" s="46">
        <v>1</v>
      </c>
      <c r="C5" s="46"/>
      <c r="D5" s="47" t="s">
        <v>70</v>
      </c>
    </row>
    <row r="6" spans="1:4" x14ac:dyDescent="0.25">
      <c r="A6" s="45" t="s">
        <v>30</v>
      </c>
      <c r="B6" s="46">
        <v>1</v>
      </c>
      <c r="C6" s="46"/>
      <c r="D6" s="47" t="s">
        <v>70</v>
      </c>
    </row>
    <row r="7" spans="1:4" x14ac:dyDescent="0.25">
      <c r="A7" s="45" t="s">
        <v>31</v>
      </c>
      <c r="B7" s="46">
        <v>1</v>
      </c>
      <c r="C7" s="46"/>
      <c r="D7" s="47" t="s">
        <v>71</v>
      </c>
    </row>
    <row r="8" spans="1:4" x14ac:dyDescent="0.25">
      <c r="A8" s="45" t="s">
        <v>32</v>
      </c>
      <c r="B8" s="46">
        <v>1</v>
      </c>
      <c r="C8" s="46"/>
      <c r="D8" s="47" t="s">
        <v>72</v>
      </c>
    </row>
    <row r="9" spans="1:4" x14ac:dyDescent="0.25">
      <c r="A9" s="45" t="s">
        <v>33</v>
      </c>
      <c r="B9" s="46">
        <v>1</v>
      </c>
      <c r="C9" s="46"/>
      <c r="D9" s="47" t="s">
        <v>73</v>
      </c>
    </row>
    <row r="10" spans="1:4" ht="15.75" thickBot="1" x14ac:dyDescent="0.3">
      <c r="A10" s="48" t="s">
        <v>34</v>
      </c>
      <c r="B10" s="49">
        <v>1</v>
      </c>
      <c r="C10" s="49"/>
      <c r="D10" s="50" t="s">
        <v>74</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ExperienceRating</vt:lpstr>
      <vt:lpstr>UMUX</vt:lpstr>
      <vt:lpstr>Timings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2019-03-11T18:24:11Z</dcterms:modified>
</cp:coreProperties>
</file>
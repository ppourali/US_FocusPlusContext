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5\Tasks\Editing\"/>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19"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19" l="1"/>
  <c r="H8" i="19"/>
  <c r="G8" i="19"/>
  <c r="F8" i="19"/>
  <c r="E8" i="19"/>
  <c r="D8" i="19"/>
  <c r="C8" i="19"/>
  <c r="B8" i="19"/>
  <c r="A8" i="19"/>
  <c r="I4" i="19"/>
  <c r="H4" i="19"/>
  <c r="G4" i="19"/>
  <c r="F4" i="19"/>
  <c r="E4" i="19"/>
  <c r="D4" i="19"/>
  <c r="C4" i="19"/>
  <c r="B4" i="19"/>
  <c r="A4" i="19"/>
  <c r="I3" i="19"/>
  <c r="H3" i="19"/>
  <c r="G3" i="19"/>
  <c r="F3" i="19"/>
  <c r="E3" i="19"/>
  <c r="D3" i="19"/>
  <c r="C3" i="19"/>
  <c r="B3" i="19"/>
  <c r="A3" i="19"/>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<sst xmlns="http://schemas.openxmlformats.org/spreadsheetml/2006/main" count="342" uniqueCount="93">
  <si>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</si>
  <si>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</si>
  <si>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</si>
  <si>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</si>
  <si>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</si>
  <si>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</si>
  <si>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</si>
  <si>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</si>
  <si>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</si>
  <si>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</si>
  <si>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</si>
  <si>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</si>
  <si>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</si>
  <si>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</si>
  <si>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</si>
  <si>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</si>
  <si>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</si>
  <si>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</si>
  <si>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</si>
  <si>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</si>
  <si>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</si>
  <si>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</si>
  <si>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</si>
  <si>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</si>
  <si>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</si>
  <si>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</si>
  <si>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</si>
  <si>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</si>
  <si>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</si>
  <si>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</si>
  <si>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</si>
  <si>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</si>
  <si>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</si>
  <si>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</si>
  <si>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</si>
  <si>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</si>
  <si>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</si>
  <si>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</si>
  <si>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</si>
  <si>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</si>
  <si>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</si>
  <si>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</si>
  <si>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</si>
  <si>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</si>
  <si>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</si>
  <si>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</si>
  <si>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</si>
  <si>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</si>
  <si>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</si>
  <si>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</si>
  <si>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</si>
  <si>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</si>
  <si>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</si>
  <si>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</si>
  <si>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</si>
  <si>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</si>
  <si>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</si>
  <si>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</si>
  <si>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</si>
  <si>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</si>
  <si>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</si>
  <si>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</si>
  <si>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</si>
  <si>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</si>
  <si>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</si>
  <si>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</si>
  <si>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</si>
  <si>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</si>
  <si>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r>
      <t xml:space="preserve">A </t>
    </r>
    <r>
      <rPr>
        <b/>
        <i/>
        <sz val="11"/>
        <color rgb="FFFF0000"/>
        <rFont val="Calibri"/>
        <family val="2"/>
        <scheme val="minor"/>
      </rPr>
      <t>disability-car</t>
    </r>
    <r>
      <rPr>
        <b/>
        <i/>
        <sz val="11"/>
        <color theme="1"/>
        <rFont val="Calibri"/>
        <family val="2"/>
        <scheme val="minor"/>
      </rPr>
      <t xml:space="preserve"> that has an occupant with disabilities must have a valid </t>
    </r>
    <r>
      <rPr>
        <b/>
        <i/>
        <sz val="11"/>
        <color rgb="FFFF0000"/>
        <rFont val="Calibri"/>
        <family val="2"/>
        <scheme val="minor"/>
      </rPr>
      <t>permit card</t>
    </r>
    <r>
      <rPr>
        <b/>
        <i/>
        <sz val="11"/>
        <color theme="1"/>
        <rFont val="Calibri"/>
        <family val="2"/>
        <scheme val="minor"/>
      </rPr>
      <t xml:space="preserve"> with an </t>
    </r>
    <r>
      <rPr>
        <b/>
        <i/>
        <sz val="11"/>
        <color rgb="FF7030A0"/>
        <rFont val="Calibri"/>
        <family val="2"/>
        <scheme val="minor"/>
      </rPr>
      <t>id</t>
    </r>
    <r>
      <rPr>
        <b/>
        <i/>
        <sz val="11"/>
        <color theme="1"/>
        <rFont val="Calibri"/>
        <family val="2"/>
        <scheme val="minor"/>
      </rPr>
      <t xml:space="preserve"> and </t>
    </r>
    <r>
      <rPr>
        <b/>
        <i/>
        <sz val="11"/>
        <color rgb="FF7030A0"/>
        <rFont val="Calibri"/>
        <family val="2"/>
        <scheme val="minor"/>
      </rPr>
      <t>expiry date</t>
    </r>
    <r>
      <rPr>
        <b/>
        <i/>
        <sz val="11"/>
        <color theme="1"/>
        <rFont val="Calibri"/>
        <family val="2"/>
        <scheme val="minor"/>
      </rPr>
      <t xml:space="preserve"> on it). When approaching the </t>
    </r>
    <r>
      <rPr>
        <b/>
        <i/>
        <sz val="11"/>
        <color rgb="FFFF0000"/>
        <rFont val="Calibri"/>
        <family val="2"/>
        <scheme val="minor"/>
      </rPr>
      <t>Gate E</t>
    </r>
    <r>
      <rPr>
        <b/>
        <i/>
        <sz val="11"/>
        <color theme="1"/>
        <rFont val="Calibri"/>
        <family val="2"/>
        <scheme val="minor"/>
      </rPr>
      <t xml:space="preserve">, the </t>
    </r>
    <r>
      <rPr>
        <b/>
        <i/>
        <sz val="11"/>
        <color rgb="FFFF0000"/>
        <rFont val="Calibri"/>
        <family val="2"/>
        <scheme val="minor"/>
      </rPr>
      <t>card scanner</t>
    </r>
    <r>
      <rPr>
        <b/>
        <i/>
        <sz val="11"/>
        <color theme="1"/>
        <rFont val="Calibri"/>
        <family val="2"/>
        <scheme val="minor"/>
      </rPr>
      <t xml:space="preserve">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r>
  </si>
  <si>
    <t>Tasks</t>
  </si>
  <si>
    <t>Success</t>
  </si>
  <si>
    <t>Errors</t>
  </si>
  <si>
    <t>Diagram Views</t>
  </si>
  <si>
    <t>P5</t>
  </si>
  <si>
    <t>FD</t>
  </si>
  <si>
    <t>n/a</t>
  </si>
  <si>
    <t>Thank you!</t>
  </si>
  <si>
    <t>GB</t>
  </si>
  <si>
    <t>GD</t>
  </si>
  <si>
    <t>GC</t>
  </si>
  <si>
    <t>GB,GD</t>
  </si>
  <si>
    <t>CD,GE,CD,GE</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</si>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</sst>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i/>
      <sz val="11"/>
      <color rgb="FFFF0000"/>
      <name val="Calibri"/>
      <family val="2"/>
      <scheme val="minor"/>
    </font>
    <font>
      <b/>
      <i/>
      <sz val="11"/>
      <color rgb="FF7030A0"/>
      <name val="Calibri"/>
      <family val="2"/>
      <scheme val="minor"/>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9" fillId="7" borderId="6" xfId="2" applyFont="1" applyBorder="1"/>
    <xf numFmtId="0" fontId="19" fillId="7" borderId="7" xfId="2" applyFont="1" applyBorder="1"/>
    <xf numFmtId="0" fontId="19" fillId="7" borderId="8" xfId="2" applyFont="1" applyBorder="1"/>
    <xf numFmtId="0" fontId="19" fillId="7" borderId="9" xfId="2" applyFont="1" applyBorder="1"/>
    <xf numFmtId="0" fontId="20" fillId="7" borderId="7" xfId="2" applyBorder="1"/>
    <xf numFmtId="0" fontId="20" fillId="7" borderId="8" xfId="2" applyBorder="1"/>
    <xf numFmtId="0" fontId="20" fillId="7" borderId="9" xfId="2" applyBorder="1"/>
    <xf numFmtId="0" fontId="19" fillId="7" borderId="10" xfId="2" applyFont="1" applyBorder="1"/>
    <xf numFmtId="0" fontId="20" fillId="7" borderId="11" xfId="2" applyBorder="1"/>
    <xf numFmtId="0" fontId="20" fillId="7" borderId="12" xfId="2" applyBorder="1"/>
    <xf numFmtId="0" fontId="20"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M13" sqref="M13"/>
    </sheetView>
  </sheetViews>
  <sheetFormatPr defaultRowHeight="15" x14ac:dyDescent="0.25"/>
  <cols>
    <col min="1" max="1" width="17" bestFit="1" customWidth="1"/>
    <col min="2" max="2" width="38.5703125" customWidth="1"/>
  </cols>
  <sheetData>
    <row r="1" spans="1:2" s="2" customFormat="1" ht="28.5" x14ac:dyDescent="0.45">
      <c r="A1" s="1" t="s">
        <v>0</v>
      </c>
      <c r="B1" s="1" t="s">
        <v>73</v>
      </c>
    </row>
    <row r="2" spans="1:2" ht="28.5" x14ac:dyDescent="0.45">
      <c r="A2" s="1" t="s">
        <v>21</v>
      </c>
      <c r="B2" s="1" t="s">
        <v>74</v>
      </c>
    </row>
    <row r="3" spans="1:2" ht="48" customHeight="1" x14ac:dyDescent="0.25"/>
    <row r="4" spans="1:2" ht="28.5" x14ac:dyDescent="0.45">
      <c r="A4" s="1" t="s">
        <v>30</v>
      </c>
      <c r="B4" s="17">
        <v>43443.47452546296</v>
      </c>
    </row>
    <row r="5" spans="1:2" ht="28.5" x14ac:dyDescent="0.45">
      <c r="A5" s="1" t="s">
        <v>31</v>
      </c>
      <c r="B5" s="17">
        <v>43443.518819444442</v>
      </c>
    </row>
    <row r="6" spans="1:2" ht="28.5" x14ac:dyDescent="0.45">
      <c r="A6" s="1" t="s">
        <v>32</v>
      </c>
      <c r="B6" s="18">
        <f>B5-B4</f>
        <v>4.4293981482042E-2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N18" sqref="N18"/>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G39" sqref="G39"/>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82" workbookViewId="0">
      <selection activeCell="A96" sqref="A96:P98"/>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2</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3</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1</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2</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2</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2</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4</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3</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68</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7</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K21" sqref="K21"/>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2.8703703703703708E-3</v>
      </c>
      <c r="D1" s="34"/>
      <c r="E1" s="33"/>
      <c r="F1" s="33"/>
      <c r="G1" s="33"/>
      <c r="H1" s="33"/>
      <c r="I1" s="33"/>
      <c r="J1" s="33"/>
      <c r="K1" s="33"/>
      <c r="L1" s="33"/>
      <c r="M1" s="33"/>
      <c r="N1" s="74" t="s">
        <v>62</v>
      </c>
      <c r="O1" s="74"/>
      <c r="P1" s="35">
        <f ca="1">IF(Welcome!$B$4&lt;&gt;"",IF(Welcome!$B$5="",NOW()-Welcome!$B$4,Welcome!$B$6),"")</f>
        <v>4.4293981482042E-2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2</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1</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K19" sqref="K19"/>
    </sheetView>
  </sheetViews>
  <sheetFormatPr defaultRowHeight="15" x14ac:dyDescent="0.25"/>
  <cols>
    <col min="16" max="16" width="12.7109375" bestFit="1" customWidth="1"/>
  </cols>
  <sheetData>
    <row r="1" spans="1:16" x14ac:dyDescent="0.25">
      <c r="A1" s="74" t="s">
        <v>61</v>
      </c>
      <c r="B1" s="74"/>
      <c r="C1" s="35">
        <f>Timings!$B$2</f>
        <v>4.2361111111111106E-3</v>
      </c>
      <c r="D1" s="34"/>
      <c r="E1" s="33"/>
      <c r="F1" s="33"/>
      <c r="G1" s="33"/>
      <c r="H1" s="33"/>
      <c r="I1" s="33"/>
      <c r="J1" s="33"/>
      <c r="K1" s="33"/>
      <c r="L1" s="33"/>
      <c r="M1" s="33"/>
      <c r="N1" s="74" t="s">
        <v>62</v>
      </c>
      <c r="O1" s="74"/>
      <c r="P1" s="35">
        <f ca="1">IF(Welcome!$B$4&lt;&gt;"",IF(Welcome!$B$5="",NOW()-Welcome!$B$4,Welcome!$B$6),"")</f>
        <v>4.4293981482042E-2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3</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J22" sqref="J22"/>
    </sheetView>
  </sheetViews>
  <sheetFormatPr defaultRowHeight="15" x14ac:dyDescent="0.25"/>
  <cols>
    <col min="16" max="16" width="12.7109375" bestFit="1" customWidth="1"/>
  </cols>
  <sheetData>
    <row r="1" spans="1:16" x14ac:dyDescent="0.25">
      <c r="A1" s="74" t="s">
        <v>61</v>
      </c>
      <c r="B1" s="74"/>
      <c r="C1" s="35">
        <f>Timings!$B$3</f>
        <v>1.423611111111111E-3</v>
      </c>
      <c r="D1" s="34"/>
      <c r="E1" s="33"/>
      <c r="F1" s="33"/>
      <c r="G1" s="33"/>
      <c r="H1" s="33"/>
      <c r="I1" s="33"/>
      <c r="J1" s="33"/>
      <c r="K1" s="33"/>
      <c r="L1" s="33"/>
      <c r="M1" s="33"/>
      <c r="N1" s="74" t="s">
        <v>62</v>
      </c>
      <c r="O1" s="74"/>
      <c r="P1" s="35">
        <f ca="1">IF(Welcome!$B$4&lt;&gt;"",IF(Welcome!$B$5="",NOW()-Welcome!$B$4,Welcome!$B$6),"")</f>
        <v>4.4293981482042E-2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1</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Timings!$B$4</f>
        <v>1.2847222222222223E-3</v>
      </c>
      <c r="D1" s="34"/>
      <c r="E1" s="33"/>
      <c r="F1" s="33"/>
      <c r="G1" s="33"/>
      <c r="H1" s="33"/>
      <c r="I1" s="33"/>
      <c r="J1" s="33"/>
      <c r="K1" s="33"/>
      <c r="L1" s="33"/>
      <c r="M1" s="33"/>
      <c r="N1" s="74" t="s">
        <v>62</v>
      </c>
      <c r="O1" s="74"/>
      <c r="P1" s="35">
        <f ca="1">IF(Welcome!$B$4&lt;&gt;"",IF(Welcome!$B$5="",NOW()-Welcome!$B$4,Welcome!$B$6),"")</f>
        <v>4.4293981482042E-2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H14" sqref="H14:P14"/>
    </sheetView>
  </sheetViews>
  <sheetFormatPr defaultRowHeight="15" x14ac:dyDescent="0.25"/>
  <cols>
    <col min="16" max="16" width="12.7109375" bestFit="1" customWidth="1"/>
  </cols>
  <sheetData>
    <row r="1" spans="1:16" x14ac:dyDescent="0.25">
      <c r="A1" s="74" t="s">
        <v>61</v>
      </c>
      <c r="B1" s="74"/>
      <c r="C1" s="35">
        <f>Timings!$B$5</f>
        <v>6.4814814814814813E-4</v>
      </c>
      <c r="D1" s="34"/>
      <c r="E1" s="33"/>
      <c r="F1" s="33"/>
      <c r="G1" s="33"/>
      <c r="H1" s="33"/>
      <c r="I1" s="33"/>
      <c r="J1" s="33"/>
      <c r="K1" s="33"/>
      <c r="L1" s="33"/>
      <c r="M1" s="33"/>
      <c r="N1" s="74" t="s">
        <v>62</v>
      </c>
      <c r="O1" s="74"/>
      <c r="P1" s="35">
        <f ca="1">IF(Welcome!$B$4&lt;&gt;"",IF(Welcome!$B$5="",NOW()-Welcome!$B$4,Welcome!$B$6),"")</f>
        <v>4.4293981482042E-2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M22" sqref="M22"/>
    </sheetView>
  </sheetViews>
  <sheetFormatPr defaultRowHeight="15" x14ac:dyDescent="0.25"/>
  <cols>
    <col min="16" max="16" width="12.7109375" bestFit="1" customWidth="1"/>
  </cols>
  <sheetData>
    <row r="1" spans="1:16" x14ac:dyDescent="0.25">
      <c r="A1" s="74" t="s">
        <v>61</v>
      </c>
      <c r="B1" s="74"/>
      <c r="C1" s="35">
        <f>Timings!$B$6</f>
        <v>5.7870370370370378E-4</v>
      </c>
      <c r="D1" s="34"/>
      <c r="E1" s="33"/>
      <c r="F1" s="33"/>
      <c r="G1" s="33"/>
      <c r="H1" s="33"/>
      <c r="I1" s="33"/>
      <c r="J1" s="33"/>
      <c r="K1" s="33"/>
      <c r="L1" s="33"/>
      <c r="M1" s="33"/>
      <c r="N1" s="74" t="s">
        <v>62</v>
      </c>
      <c r="O1" s="74"/>
      <c r="P1" s="35">
        <f ca="1">IF(Welcome!$B$4&lt;&gt;"",IF(Welcome!$B$5="",NOW()-Welcome!$B$4,Welcome!$B$6),"")</f>
        <v>4.4293981482042E-2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M21" sqref="M21"/>
    </sheetView>
  </sheetViews>
  <sheetFormatPr defaultRowHeight="15" x14ac:dyDescent="0.25"/>
  <cols>
    <col min="16" max="16" width="12.7109375" bestFit="1" customWidth="1"/>
  </cols>
  <sheetData>
    <row r="1" spans="1:16" x14ac:dyDescent="0.25">
      <c r="A1" s="74" t="s">
        <v>61</v>
      </c>
      <c r="B1" s="74"/>
      <c r="C1" s="35">
        <f>Timings!$B$7</f>
        <v>1.7824074074074072E-3</v>
      </c>
      <c r="D1" s="34"/>
      <c r="E1" s="33"/>
      <c r="F1" s="33"/>
      <c r="G1" s="33"/>
      <c r="H1" s="33"/>
      <c r="I1" s="33"/>
      <c r="J1" s="33"/>
      <c r="K1" s="33"/>
      <c r="L1" s="33"/>
      <c r="M1" s="33"/>
      <c r="N1" s="74" t="s">
        <v>62</v>
      </c>
      <c r="O1" s="74"/>
      <c r="P1" s="35">
        <f ca="1">IF(Welcome!$B$4&lt;&gt;"",IF(Welcome!$B$5="",NOW()-Welcome!$B$4,Welcome!$B$6),"")</f>
        <v>4.4293981482042E-2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4</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M26" sqref="M26"/>
    </sheetView>
  </sheetViews>
  <sheetFormatPr defaultRowHeight="15" x14ac:dyDescent="0.25"/>
  <cols>
    <col min="16" max="16" width="12.7109375" bestFit="1" customWidth="1"/>
  </cols>
  <sheetData>
    <row r="1" spans="1:16" x14ac:dyDescent="0.25">
      <c r="A1" s="74" t="s">
        <v>61</v>
      </c>
      <c r="B1" s="74"/>
      <c r="C1" s="35">
        <f>Timings!$B$8</f>
        <v>1.7592592592592592E-3</v>
      </c>
      <c r="D1" s="34"/>
      <c r="E1" s="33"/>
      <c r="F1" s="33"/>
      <c r="G1" s="33"/>
      <c r="H1" s="33"/>
      <c r="I1" s="33"/>
      <c r="J1" s="33"/>
      <c r="K1" s="33"/>
      <c r="L1" s="33"/>
      <c r="M1" s="33"/>
      <c r="N1" s="74" t="s">
        <v>62</v>
      </c>
      <c r="O1" s="74"/>
      <c r="P1" s="35">
        <f ca="1">IF(Welcome!$B$4&lt;&gt;"",IF(Welcome!$B$5="",NOW()-Welcome!$B$4,Welcome!$B$6),"")</f>
        <v>4.4293981482042E-2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1</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L19" sqref="L19"/>
    </sheetView>
  </sheetViews>
  <sheetFormatPr defaultRowHeight="15" x14ac:dyDescent="0.25"/>
  <cols>
    <col min="16" max="16" width="12.7109375" bestFit="1" customWidth="1"/>
  </cols>
  <sheetData>
    <row r="1" spans="1:16" x14ac:dyDescent="0.25">
      <c r="A1" s="74" t="s">
        <v>61</v>
      </c>
      <c r="B1" s="74"/>
      <c r="C1" s="35">
        <f>Timings!$B$9</f>
        <v>1.8333333333333333E-2</v>
      </c>
      <c r="D1" s="34"/>
      <c r="E1" s="33"/>
      <c r="F1" s="33"/>
      <c r="G1" s="33"/>
      <c r="H1" s="33"/>
      <c r="I1" s="33"/>
      <c r="J1" s="33"/>
      <c r="K1" s="33"/>
      <c r="L1" s="33"/>
      <c r="M1" s="33"/>
      <c r="N1" s="74" t="s">
        <v>62</v>
      </c>
      <c r="O1" s="74"/>
      <c r="P1" s="35">
        <f ca="1">IF(Welcome!$B$4&lt;&gt;"",IF(Welcome!$B$5="",NOW()-Welcome!$B$4,Welcome!$B$6),"")</f>
        <v>4.4293981482042E-2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disability-car that has an occupant with disabilities must have a valid permit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7</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6</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topLeftCell="A10" zoomScale="90" zoomScaleNormal="90" workbookViewId="0">
      <selection activeCell="K33" sqref="K33"/>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6</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7</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1</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2</v>
      </c>
      <c r="I16" s="78"/>
      <c r="J16" s="78"/>
      <c r="K16" s="78"/>
      <c r="L16" s="78"/>
      <c r="M16" s="78"/>
      <c r="N16" s="78"/>
      <c r="O16" s="78"/>
      <c r="P16" s="78"/>
    </row>
    <row r="17" spans="1:16" x14ac:dyDescent="0.25">
      <c r="A17" s="63"/>
      <c r="B17" s="63"/>
      <c r="C17" s="63"/>
      <c r="D17" s="63"/>
      <c r="E17" s="63"/>
      <c r="F17" s="63"/>
      <c r="G17" s="63"/>
      <c r="H17" s="63"/>
      <c r="I17" s="63"/>
      <c r="J17" s="63"/>
      <c r="K17" s="63"/>
      <c r="L17" s="63"/>
      <c r="M17" s="63"/>
      <c r="N17" s="63"/>
      <c r="O17" s="63"/>
    </row>
    <row r="18" spans="1:16"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16" ht="15.75" x14ac:dyDescent="0.25">
      <c r="A19" s="14"/>
      <c r="B19" s="14"/>
      <c r="C19" s="14"/>
      <c r="D19" s="14"/>
      <c r="E19" s="14"/>
      <c r="F19" s="58" t="s">
        <v>4</v>
      </c>
      <c r="G19" s="59"/>
      <c r="H19" s="78" t="s">
        <v>75</v>
      </c>
      <c r="I19" s="78"/>
      <c r="J19" s="78"/>
      <c r="K19" s="78"/>
      <c r="L19" s="78"/>
      <c r="M19" s="78"/>
      <c r="N19" s="78"/>
      <c r="O19" s="78"/>
      <c r="P19" s="78"/>
    </row>
    <row r="21" spans="1:16"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16" ht="15.75" x14ac:dyDescent="0.25">
      <c r="A22" s="14"/>
      <c r="B22" s="14"/>
      <c r="C22" s="14"/>
      <c r="D22" s="14"/>
      <c r="E22" s="14"/>
      <c r="F22" s="58" t="s">
        <v>4</v>
      </c>
      <c r="G22" s="59"/>
      <c r="H22" s="78">
        <v>1</v>
      </c>
      <c r="I22" s="78"/>
      <c r="J22" s="78"/>
      <c r="K22" s="78"/>
      <c r="L22" s="78"/>
      <c r="M22" s="78"/>
      <c r="N22" s="78"/>
      <c r="O22" s="78"/>
      <c r="P22" s="78"/>
    </row>
    <row r="23" spans="1:16" x14ac:dyDescent="0.25">
      <c r="A23" s="63"/>
      <c r="B23" s="63"/>
      <c r="C23" s="63"/>
      <c r="D23" s="63"/>
      <c r="E23" s="63"/>
      <c r="F23" s="63"/>
      <c r="G23" s="63"/>
      <c r="H23" s="63"/>
      <c r="I23" s="63"/>
      <c r="J23" s="63"/>
      <c r="K23" s="63"/>
      <c r="L23" s="63"/>
      <c r="M23" s="63"/>
      <c r="N23" s="63"/>
      <c r="O23" s="63"/>
    </row>
    <row r="24" spans="1:16"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16" ht="15.75" x14ac:dyDescent="0.25">
      <c r="A25" s="14"/>
      <c r="B25" s="14"/>
      <c r="C25" s="14"/>
      <c r="D25" s="14"/>
      <c r="E25" s="14"/>
      <c r="F25" s="58" t="s">
        <v>4</v>
      </c>
      <c r="G25" s="59"/>
      <c r="H25" s="78">
        <v>1</v>
      </c>
      <c r="I25" s="78"/>
      <c r="J25" s="78"/>
      <c r="K25" s="78"/>
      <c r="L25" s="78"/>
      <c r="M25" s="78"/>
      <c r="N25" s="78"/>
      <c r="O25" s="78"/>
      <c r="P25" s="78"/>
    </row>
    <row r="26" spans="1:16" x14ac:dyDescent="0.25">
      <c r="A26" s="63"/>
      <c r="B26" s="63"/>
      <c r="C26" s="63"/>
      <c r="D26" s="63"/>
      <c r="E26" s="63"/>
      <c r="F26" s="63"/>
      <c r="G26" s="63"/>
      <c r="H26" s="63"/>
      <c r="I26" s="63"/>
      <c r="J26" s="63"/>
      <c r="K26" s="63"/>
      <c r="L26" s="63"/>
      <c r="M26" s="63"/>
      <c r="N26" s="63"/>
      <c r="O26" s="63"/>
    </row>
    <row r="27" spans="1:16"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16" ht="15.75" x14ac:dyDescent="0.25">
      <c r="A28" s="14"/>
      <c r="B28" s="14"/>
      <c r="C28" s="14"/>
      <c r="D28" s="14"/>
      <c r="E28" s="14"/>
      <c r="F28" s="58" t="s">
        <v>4</v>
      </c>
      <c r="G28" s="59"/>
      <c r="H28" s="78">
        <v>1</v>
      </c>
      <c r="I28" s="78"/>
      <c r="J28" s="78"/>
      <c r="K28" s="78"/>
      <c r="L28" s="78"/>
      <c r="M28" s="78"/>
      <c r="N28" s="78"/>
      <c r="O28" s="78"/>
      <c r="P28" s="78"/>
    </row>
    <row r="29" spans="1:16" x14ac:dyDescent="0.25">
      <c r="A29" s="63"/>
      <c r="B29" s="63"/>
      <c r="C29" s="63"/>
      <c r="D29" s="63"/>
      <c r="E29" s="63"/>
      <c r="F29" s="63"/>
      <c r="G29" s="63"/>
      <c r="H29" s="63"/>
      <c r="I29" s="63"/>
      <c r="J29" s="63"/>
      <c r="K29" s="63"/>
      <c r="L29" s="63"/>
      <c r="M29" s="63"/>
      <c r="N29" s="63"/>
      <c r="O29" s="6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6" t="s">
        <v>76</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2.8703703703703708E-3</v>
      </c>
    </row>
    <row r="2" spans="1:6" x14ac:dyDescent="0.25">
      <c r="A2" s="20" t="s">
        <v>23</v>
      </c>
      <c r="B2" s="21">
        <v>4.2361111111111106E-3</v>
      </c>
    </row>
    <row r="3" spans="1:6" x14ac:dyDescent="0.25">
      <c r="A3" s="20" t="s">
        <v>24</v>
      </c>
      <c r="B3" s="21">
        <v>1.423611111111111E-3</v>
      </c>
    </row>
    <row r="4" spans="1:6" x14ac:dyDescent="0.25">
      <c r="A4" s="20" t="s">
        <v>25</v>
      </c>
      <c r="B4" s="21">
        <v>1.2847222222222223E-3</v>
      </c>
    </row>
    <row r="5" spans="1:6" x14ac:dyDescent="0.25">
      <c r="A5" s="20" t="s">
        <v>26</v>
      </c>
      <c r="B5" s="21">
        <v>6.4814814814814813E-4</v>
      </c>
    </row>
    <row r="6" spans="1:6" x14ac:dyDescent="0.25">
      <c r="A6" s="20" t="s">
        <v>27</v>
      </c>
      <c r="B6" s="21">
        <v>5.7870370370370378E-4</v>
      </c>
    </row>
    <row r="7" spans="1:6" x14ac:dyDescent="0.25">
      <c r="A7" s="20" t="s">
        <v>28</v>
      </c>
      <c r="B7" s="21">
        <v>1.7824074074074072E-3</v>
      </c>
    </row>
    <row r="8" spans="1:6" x14ac:dyDescent="0.25">
      <c r="A8" s="20" t="s">
        <v>29</v>
      </c>
      <c r="B8" s="21">
        <v>1.7592592592592592E-3</v>
      </c>
    </row>
    <row r="9" spans="1:6" x14ac:dyDescent="0.25">
      <c r="A9" s="20" t="s">
        <v>66</v>
      </c>
      <c r="B9" s="21">
        <v>1.8333333333333333E-2</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activeCell="B12" sqref="B12"/>
    </sheetView>
  </sheetViews>
  <sheetFormatPr defaultRowHeight="15" x14ac:dyDescent="0.25"/>
  <cols>
    <col min="3" max="3" width="89" customWidth="1"/>
    <col min="4" max="4" width="119.140625" customWidth="1"/>
  </cols>
  <sheetData>
    <row r="1" spans="1:4" ht="19.5" thickBot="1" x14ac:dyDescent="0.35">
      <c r="A1" s="79" t="str">
        <f>Welcome!B1</f>
        <v>P5</v>
      </c>
      <c r="B1" s="79"/>
      <c r="C1" s="79"/>
      <c r="D1" s="79"/>
    </row>
    <row r="2" spans="1:4" ht="15.75" thickBot="1" x14ac:dyDescent="0.3">
      <c r="A2" s="39" t="s">
        <v>69</v>
      </c>
      <c r="B2" s="39" t="s">
        <v>70</v>
      </c>
      <c r="C2" s="39" t="s">
        <v>71</v>
      </c>
      <c r="D2" s="46" t="s">
        <v>72</v>
      </c>
    </row>
    <row r="3" spans="1:4" x14ac:dyDescent="0.25">
      <c r="A3" s="40" t="s">
        <v>22</v>
      </c>
      <c r="B3" s="43">
        <v>1</v>
      </c>
      <c r="C3" s="43"/>
      <c r="D3" s="47" t="s">
        <v>77</v>
      </c>
    </row>
    <row r="4" spans="1:4" x14ac:dyDescent="0.25">
      <c r="A4" s="41" t="s">
        <v>23</v>
      </c>
      <c r="B4" s="44">
        <v>1</v>
      </c>
      <c r="C4" s="44"/>
      <c r="D4" s="48" t="s">
        <v>77</v>
      </c>
    </row>
    <row r="5" spans="1:4" x14ac:dyDescent="0.25">
      <c r="A5" s="41" t="s">
        <v>24</v>
      </c>
      <c r="B5" s="44">
        <v>1</v>
      </c>
      <c r="C5" s="44"/>
      <c r="D5" s="48" t="s">
        <v>78</v>
      </c>
    </row>
    <row r="6" spans="1:4" x14ac:dyDescent="0.25">
      <c r="A6" s="41" t="s">
        <v>25</v>
      </c>
      <c r="B6" s="44">
        <v>1</v>
      </c>
      <c r="C6" s="44"/>
      <c r="D6" s="48" t="s">
        <v>78</v>
      </c>
    </row>
    <row r="7" spans="1:4" x14ac:dyDescent="0.25">
      <c r="A7" s="41" t="s">
        <v>26</v>
      </c>
      <c r="B7" s="44">
        <v>1</v>
      </c>
      <c r="C7" s="44"/>
      <c r="D7" s="48" t="s">
        <v>78</v>
      </c>
    </row>
    <row r="8" spans="1:4" x14ac:dyDescent="0.25">
      <c r="A8" s="41" t="s">
        <v>27</v>
      </c>
      <c r="B8" s="44">
        <v>1</v>
      </c>
      <c r="C8" s="44"/>
      <c r="D8" s="48" t="s">
        <v>79</v>
      </c>
    </row>
    <row r="9" spans="1:4" x14ac:dyDescent="0.25">
      <c r="A9" s="41" t="s">
        <v>28</v>
      </c>
      <c r="B9" s="44">
        <v>1</v>
      </c>
      <c r="C9" s="44"/>
      <c r="D9" s="48" t="s">
        <v>77</v>
      </c>
    </row>
    <row r="10" spans="1:4" x14ac:dyDescent="0.25">
      <c r="A10" s="41" t="s">
        <v>29</v>
      </c>
      <c r="B10" s="44">
        <v>1</v>
      </c>
      <c r="C10" s="44"/>
      <c r="D10" s="48" t="s">
        <v>80</v>
      </c>
    </row>
    <row r="11" spans="1:4" ht="15.75" thickBot="1" x14ac:dyDescent="0.3">
      <c r="A11" s="42" t="s">
        <v>66</v>
      </c>
      <c r="B11" s="45">
        <v>0.5</v>
      </c>
      <c r="C11" s="45"/>
      <c r="D11" s="49" t="s">
        <v>81</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82</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2</v>
      </c>
      <c r="B3">
        <f>Task2!H10</f>
        <v>3</v>
      </c>
      <c r="C3">
        <f>Task3!H10</f>
        <v>1</v>
      </c>
      <c r="D3">
        <f>Task4!H10</f>
        <v>2</v>
      </c>
      <c r="E3">
        <f>Task5!H10</f>
        <v>2</v>
      </c>
      <c r="F3">
        <f>Task6!H10</f>
        <v>2</v>
      </c>
      <c r="G3">
        <f>Task7!H10</f>
        <v>4</v>
      </c>
      <c r="H3">
        <f>Task8!H10</f>
        <v>3</v>
      </c>
      <c r="I3">
        <f>Task9!H10</f>
        <v>7</v>
      </c>
    </row>
    <row r="4" spans="1:9" x14ac:dyDescent="0.25">
      <c r="A4">
        <f>Task1!H13</f>
        <v>1</v>
      </c>
      <c r="B4">
        <f>Task2!H14</f>
        <v>1</v>
      </c>
      <c r="C4">
        <f>Task3!H14</f>
        <v>1</v>
      </c>
      <c r="D4">
        <f>Task4!H14</f>
        <v>1</v>
      </c>
      <c r="E4">
        <f>Task5!H14</f>
        <v>1</v>
      </c>
      <c r="F4">
        <f>Task6!H14</f>
        <v>1</v>
      </c>
      <c r="G4">
        <f>Task7!H14</f>
        <v>1</v>
      </c>
      <c r="H4">
        <f>Task8!H14</f>
        <v>1</v>
      </c>
      <c r="I4">
        <f>Task9!H14</f>
        <v>5</v>
      </c>
    </row>
    <row r="6" spans="1:9" x14ac:dyDescent="0.25">
      <c r="A6" s="63" t="s">
        <v>83</v>
      </c>
      <c r="B6" s="63"/>
      <c r="C6" s="63"/>
      <c r="D6" s="63"/>
      <c r="E6" s="63"/>
      <c r="F6" s="63"/>
      <c r="G6" s="63"/>
      <c r="H6" s="63"/>
      <c r="I6" s="63"/>
    </row>
    <row r="7" spans="1:9" x14ac:dyDescent="0.25">
      <c r="A7" t="s">
        <v>84</v>
      </c>
      <c r="B7" t="s">
        <v>85</v>
      </c>
      <c r="C7" t="s">
        <v>86</v>
      </c>
      <c r="D7" t="s">
        <v>87</v>
      </c>
      <c r="E7" t="s">
        <v>88</v>
      </c>
      <c r="F7" t="s">
        <v>89</v>
      </c>
      <c r="G7" t="s">
        <v>90</v>
      </c>
      <c r="H7" t="s">
        <v>91</v>
      </c>
      <c r="I7" t="s">
        <v>92</v>
      </c>
    </row>
    <row r="8" spans="1:9" x14ac:dyDescent="0.25">
      <c r="A8">
        <f>ExperienceRating!H4</f>
        <v>6</v>
      </c>
      <c r="B8">
        <f>UMUX!H4</f>
        <v>6</v>
      </c>
      <c r="C8">
        <f>UMUX!H8</f>
        <v>7</v>
      </c>
      <c r="D8">
        <f>UMUX!H13</f>
        <v>1</v>
      </c>
      <c r="E8">
        <f>UMUX!H16</f>
        <v>2</v>
      </c>
      <c r="F8" t="str">
        <f>UMUX!H19</f>
        <v>n/a</v>
      </c>
      <c r="G8">
        <f>UMUX!H22</f>
        <v>1</v>
      </c>
      <c r="H8">
        <f>UMUX!H25</f>
        <v>1</v>
      </c>
      <c r="I8">
        <f>UMUX!H28</f>
        <v>1</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2019-03-11T19:04:44Z</dcterms:modified>
</cp:coreProperties>
</file>